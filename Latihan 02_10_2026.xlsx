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nu\Downloads\"/>
    </mc:Choice>
  </mc:AlternateContent>
  <xr:revisionPtr revIDLastSave="0" documentId="13_ncr:1_{9F80EAA7-118E-4FB7-9220-1C557D6A36D8}" xr6:coauthVersionLast="47" xr6:coauthVersionMax="47" xr10:uidLastSave="{00000000-0000-0000-0000-000000000000}"/>
  <bookViews>
    <workbookView xWindow="-110" yWindow="-110" windowWidth="19420" windowHeight="11500" xr2:uid="{AA631F2F-1D1A-4CA8-B086-B44C025B8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1" l="1"/>
  <c r="M11" i="1"/>
  <c r="M9" i="1"/>
  <c r="L6" i="1"/>
  <c r="J17" i="1"/>
  <c r="J16" i="1"/>
  <c r="I14" i="1"/>
  <c r="J9" i="1"/>
  <c r="I8" i="1"/>
  <c r="I7" i="1"/>
  <c r="I6" i="1"/>
  <c r="I5" i="1"/>
  <c r="C64" i="1"/>
  <c r="C63" i="1"/>
  <c r="C62" i="1"/>
  <c r="C61" i="1"/>
  <c r="B40" i="1" a="1"/>
  <c r="B40" i="1" s="1"/>
  <c r="C40" i="1" s="1"/>
  <c r="C36" i="1"/>
  <c r="D23" i="1"/>
  <c r="D6" i="1"/>
  <c r="C50" i="1" l="1"/>
  <c r="C48" i="1"/>
  <c r="D48" i="1"/>
  <c r="C46" i="1"/>
  <c r="C45" i="1"/>
  <c r="D46" i="1"/>
  <c r="F46" i="1" s="1"/>
  <c r="C44" i="1"/>
  <c r="E44" i="1" s="1"/>
  <c r="D45" i="1"/>
  <c r="F45" i="1" s="1"/>
  <c r="C53" i="1" s="1"/>
  <c r="D40" i="1"/>
  <c r="E40" i="1" s="1"/>
  <c r="C49" i="1"/>
  <c r="E49" i="1" s="1"/>
  <c r="D50" i="1"/>
  <c r="D49" i="1"/>
  <c r="D47" i="1"/>
  <c r="D44" i="1"/>
  <c r="C43" i="1"/>
  <c r="C42" i="1"/>
  <c r="D43" i="1"/>
  <c r="C47" i="1"/>
  <c r="E47" i="1" s="1"/>
  <c r="C41" i="1"/>
  <c r="D42" i="1"/>
  <c r="D41" i="1"/>
  <c r="F41" i="1" s="1"/>
  <c r="D36" i="1"/>
  <c r="E42" i="1" l="1"/>
  <c r="E43" i="1"/>
  <c r="E50" i="1"/>
  <c r="C56" i="1" s="1"/>
  <c r="E46" i="1"/>
  <c r="E48" i="1"/>
  <c r="C55" i="1" s="1"/>
  <c r="C57" i="1" s="1"/>
  <c r="C58" i="1" s="1"/>
  <c r="F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<sst xmlns="http://schemas.openxmlformats.org/spreadsheetml/2006/main" count="91" uniqueCount="58">
  <si>
    <t>Tanggal</t>
  </si>
  <si>
    <t>Debit</t>
  </si>
  <si>
    <t>Credit</t>
  </si>
  <si>
    <t>Kas</t>
  </si>
  <si>
    <t>Modal</t>
  </si>
  <si>
    <t>Peralatan</t>
  </si>
  <si>
    <t>Perlengkapan</t>
  </si>
  <si>
    <t>Sewa dibayar dimuka</t>
  </si>
  <si>
    <t>Pendapatan</t>
  </si>
  <si>
    <t>Piutang</t>
  </si>
  <si>
    <t>Catatan</t>
  </si>
  <si>
    <t>Pendapatan dari foto keluarga di bayar sebagian</t>
  </si>
  <si>
    <t>Pendapatan dari Ibu Rita, dibayar tanggal 29 Januari</t>
  </si>
  <si>
    <t>Utang kepada UD Salma, pembayaran bulan depan</t>
  </si>
  <si>
    <t xml:space="preserve">Prive </t>
  </si>
  <si>
    <t>Membayar utang tanggal 16 Jan</t>
  </si>
  <si>
    <t>Piutang dibayar dari tanggal 6 Jan</t>
  </si>
  <si>
    <t>TOTAL</t>
  </si>
  <si>
    <t>Nama Akun</t>
  </si>
  <si>
    <t>Utang</t>
  </si>
  <si>
    <t>Beban utilitas</t>
  </si>
  <si>
    <t>Beban telepon</t>
  </si>
  <si>
    <t>Beban gaji</t>
  </si>
  <si>
    <t>Jurnal umum</t>
  </si>
  <si>
    <t>Saldo Akhir</t>
  </si>
  <si>
    <t>Debet</t>
  </si>
  <si>
    <t>Kredit</t>
  </si>
  <si>
    <t>Laporan Laba Rugi</t>
  </si>
  <si>
    <t>Beban Usaha</t>
  </si>
  <si>
    <t>Pendapatan Usaha</t>
  </si>
  <si>
    <t>Beban Utilitas</t>
  </si>
  <si>
    <t>Beban Gaji</t>
  </si>
  <si>
    <t>Total Beban</t>
  </si>
  <si>
    <t>Laba Bersih</t>
  </si>
  <si>
    <t>Modal Awal</t>
  </si>
  <si>
    <t>Prive</t>
  </si>
  <si>
    <t>Modal Akhir</t>
  </si>
  <si>
    <t>Laporan Perubahan Modal</t>
  </si>
  <si>
    <t>Neraca Salon Joko</t>
  </si>
  <si>
    <t>Periode Akhir Jan 2017</t>
  </si>
  <si>
    <t>Aktiva(Assets)</t>
  </si>
  <si>
    <t>Aktiva Tetap</t>
  </si>
  <si>
    <t>Tanah</t>
  </si>
  <si>
    <t>Bangunan</t>
  </si>
  <si>
    <t>Akumulasi Penyusutan Bangunan</t>
  </si>
  <si>
    <t>Akumulasi Penyusutan Peralatan</t>
  </si>
  <si>
    <t>Aktiva Lancar</t>
  </si>
  <si>
    <t>Sewa Dibayar Dimuka</t>
  </si>
  <si>
    <t>Total Aktiva Lancar</t>
  </si>
  <si>
    <t>Total Aktiva Tetap</t>
  </si>
  <si>
    <t>Total Aktiva</t>
  </si>
  <si>
    <t>Passiva</t>
  </si>
  <si>
    <t>Utang Lancar</t>
  </si>
  <si>
    <t>Utang Usaha</t>
  </si>
  <si>
    <t>Utang Jangka Panjang</t>
  </si>
  <si>
    <t>Utang Bank</t>
  </si>
  <si>
    <t>Total Utang</t>
  </si>
  <si>
    <t>Total Utang &amp; 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</si>
</sst>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Rp-3809]* #,##0_-;\-[$Rp-3809]* #,##0_-;_-[$Rp-38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7" fontId="0" fillId="0" borderId="0" xfId="0" applyNumberFormat="1"/>
    <xf numFmtId="0" fontId="0" fillId="2" borderId="0" xfId="0" applyFill="1"/>
    <xf numFmtId="0" fontId="0" fillId="0" borderId="1" xfId="0" applyBorder="1"/>
    <xf numFmtId="167" fontId="0" fillId="0" borderId="1" xfId="0" applyNumberFormat="1" applyBorder="1"/>
    <xf numFmtId="0" fontId="0" fillId="0" borderId="0" xfId="0" applyBorder="1"/>
    <xf numFmtId="15" fontId="0" fillId="0" borderId="0" xfId="0" applyNumberFormat="1" applyBorder="1"/>
    <xf numFmtId="0" fontId="0" fillId="2" borderId="0" xfId="0" applyFill="1" applyBorder="1"/>
    <xf numFmtId="0" fontId="0" fillId="0" borderId="1" xfId="0" applyBorder="1" applyAlignment="1">
      <alignment horizontal="center"/>
    </xf>
    <xf numFmtId="167" fontId="0" fillId="0" borderId="0" xfId="0" applyNumberFormat="1" applyBorder="1"/>
    <xf numFmtId="0" fontId="0" fillId="2" borderId="0" xfId="0" applyFill="1" applyBorder="1"/>
    <xf numFmtId="167" fontId="0" fillId="2" borderId="0" xfId="0" applyNumberFormat="1" applyFill="1" applyBorder="1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1" fillId="0" borderId="1" xfId="0" applyFont="1" applyBorder="1"/>
    <xf numFmtId="167" fontId="1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91C6-3083-41CF-B202-BFCB1B344214}">
  <dimension ref="A1:M64"/>
  <sheetViews>
    <sheetView tabSelected="1" zoomScale="80" workbookViewId="0">
      <selection activeCell="C12" sqref="C12"/>
    </sheetView>
  </sheetViews>
  <sheetFormatPr defaultRowHeight="14.5" x14ac:dyDescent="0.35"/>
  <cols>
    <col min="1" max="1" width="13.08984375" customWidth="1"/>
    <col min="2" max="2" width="27.6328125" customWidth="1"/>
    <col min="3" max="4" width="17" style="1" bestFit="1" customWidth="1"/>
    <col min="5" max="5" width="16.90625" customWidth="1"/>
    <col min="6" max="6" width="17.08984375" customWidth="1"/>
    <col min="7" max="7" width="14.54296875" customWidth="1"/>
    <col min="8" max="8" width="29.08984375" customWidth="1"/>
    <col min="9" max="9" width="15.81640625" style="1" customWidth="1"/>
    <col min="10" max="10" width="15.54296875" style="1" customWidth="1"/>
    <col min="11" max="11" width="25.26953125" customWidth="1"/>
    <col min="12" max="12" width="14.7265625" customWidth="1"/>
    <col min="13" max="13" width="15.26953125" customWidth="1"/>
  </cols>
  <sheetData>
    <row r="1" spans="1:13" x14ac:dyDescent="0.35">
      <c r="A1" s="5" t="s">
        <v>0</v>
      </c>
      <c r="B1" s="12" t="s">
        <v>18</v>
      </c>
      <c r="C1" s="9" t="s">
        <v>1</v>
      </c>
      <c r="D1" s="9" t="s">
        <v>2</v>
      </c>
      <c r="E1" s="5" t="s">
        <v>10</v>
      </c>
      <c r="H1" s="17" t="s">
        <v>38</v>
      </c>
      <c r="I1" s="19"/>
      <c r="J1" s="19"/>
      <c r="K1" s="19"/>
      <c r="L1" s="19"/>
      <c r="M1" s="18"/>
    </row>
    <row r="2" spans="1:13" x14ac:dyDescent="0.35">
      <c r="A2" s="6">
        <v>42736</v>
      </c>
      <c r="B2" s="5" t="s">
        <v>3</v>
      </c>
      <c r="C2" s="9">
        <v>10000000</v>
      </c>
      <c r="D2" s="9"/>
      <c r="E2" s="5"/>
      <c r="H2" s="17" t="s">
        <v>39</v>
      </c>
      <c r="I2" s="19"/>
      <c r="J2" s="19"/>
      <c r="K2" s="19"/>
      <c r="L2" s="19"/>
      <c r="M2" s="18"/>
    </row>
    <row r="3" spans="1:13" x14ac:dyDescent="0.35">
      <c r="A3" s="6"/>
      <c r="B3" s="5" t="s">
        <v>4</v>
      </c>
      <c r="C3" s="9"/>
      <c r="D3" s="9">
        <v>10000000</v>
      </c>
      <c r="E3" s="5"/>
      <c r="H3" s="15" t="s">
        <v>40</v>
      </c>
      <c r="I3" s="4"/>
      <c r="J3" s="4"/>
      <c r="K3" s="15" t="s">
        <v>51</v>
      </c>
      <c r="L3" s="3"/>
      <c r="M3" s="3"/>
    </row>
    <row r="4" spans="1:13" x14ac:dyDescent="0.35">
      <c r="A4" s="6">
        <v>42737</v>
      </c>
      <c r="B4" s="5" t="s">
        <v>5</v>
      </c>
      <c r="C4" s="9">
        <v>1000000</v>
      </c>
      <c r="D4" s="9"/>
      <c r="E4" s="5"/>
      <c r="H4" s="15" t="s">
        <v>46</v>
      </c>
      <c r="I4" s="4"/>
      <c r="J4" s="4"/>
      <c r="K4" s="15" t="s">
        <v>19</v>
      </c>
      <c r="L4" s="3"/>
      <c r="M4" s="3"/>
    </row>
    <row r="5" spans="1:13" x14ac:dyDescent="0.35">
      <c r="A5" s="6"/>
      <c r="B5" s="5" t="s">
        <v>6</v>
      </c>
      <c r="C5" s="9">
        <v>250000</v>
      </c>
      <c r="D5" s="9"/>
      <c r="E5" s="5"/>
      <c r="H5" s="3" t="s">
        <v>3</v>
      </c>
      <c r="I5" s="4">
        <f>E40</f>
        <v>16450000</v>
      </c>
      <c r="J5" s="4"/>
      <c r="K5" s="15" t="s">
        <v>52</v>
      </c>
      <c r="L5" s="3"/>
      <c r="M5" s="3"/>
    </row>
    <row r="6" spans="1:13" x14ac:dyDescent="0.35">
      <c r="A6" s="6"/>
      <c r="B6" s="5" t="s">
        <v>3</v>
      </c>
      <c r="C6" s="9"/>
      <c r="D6" s="9">
        <f>C4+C5</f>
        <v>1250000</v>
      </c>
      <c r="E6" s="5"/>
      <c r="H6" s="3" t="s">
        <v>9</v>
      </c>
      <c r="I6" s="4">
        <f>E46</f>
        <v>0</v>
      </c>
      <c r="J6" s="4"/>
      <c r="K6" s="3" t="s">
        <v>53</v>
      </c>
      <c r="L6" s="4">
        <f>F47</f>
        <v>0</v>
      </c>
      <c r="M6" s="3"/>
    </row>
    <row r="7" spans="1:13" x14ac:dyDescent="0.35">
      <c r="A7" s="6">
        <v>42738</v>
      </c>
      <c r="B7" s="5" t="s">
        <v>7</v>
      </c>
      <c r="C7" s="9">
        <v>2000000</v>
      </c>
      <c r="D7" s="9"/>
      <c r="E7" s="5"/>
      <c r="H7" s="3" t="s">
        <v>6</v>
      </c>
      <c r="I7" s="4">
        <f>E43</f>
        <v>1900000</v>
      </c>
      <c r="J7" s="4"/>
      <c r="K7" s="15" t="s">
        <v>54</v>
      </c>
      <c r="L7" s="3"/>
      <c r="M7" s="3"/>
    </row>
    <row r="8" spans="1:13" x14ac:dyDescent="0.35">
      <c r="A8" s="5"/>
      <c r="B8" s="5" t="s">
        <v>3</v>
      </c>
      <c r="C8" s="9"/>
      <c r="D8" s="9">
        <v>2000000</v>
      </c>
      <c r="E8" s="5"/>
      <c r="H8" s="3" t="s">
        <v>47</v>
      </c>
      <c r="I8" s="4">
        <f>E44</f>
        <v>2000000</v>
      </c>
      <c r="J8" s="4"/>
      <c r="K8" s="3" t="s">
        <v>55</v>
      </c>
      <c r="L8" s="3"/>
      <c r="M8" s="3"/>
    </row>
    <row r="9" spans="1:13" x14ac:dyDescent="0.35">
      <c r="A9" s="6">
        <v>42740</v>
      </c>
      <c r="B9" s="5" t="s">
        <v>3</v>
      </c>
      <c r="C9" s="9">
        <v>400000</v>
      </c>
      <c r="D9" s="9"/>
      <c r="E9" s="5"/>
      <c r="H9" s="15" t="s">
        <v>48</v>
      </c>
      <c r="I9" s="4"/>
      <c r="J9" s="16">
        <f>SUM(I5:I8)</f>
        <v>20350000</v>
      </c>
      <c r="K9" s="15" t="s">
        <v>56</v>
      </c>
      <c r="L9" s="3"/>
      <c r="M9" s="16">
        <f>L6</f>
        <v>0</v>
      </c>
    </row>
    <row r="10" spans="1:13" x14ac:dyDescent="0.35">
      <c r="A10" s="5"/>
      <c r="B10" s="5" t="s">
        <v>8</v>
      </c>
      <c r="C10" s="9"/>
      <c r="D10" s="9">
        <v>400000</v>
      </c>
      <c r="E10" s="5"/>
      <c r="H10" s="15" t="s">
        <v>41</v>
      </c>
      <c r="I10" s="4"/>
      <c r="J10" s="4"/>
      <c r="K10" s="3"/>
      <c r="L10" s="3"/>
      <c r="M10" s="3"/>
    </row>
    <row r="11" spans="1:13" x14ac:dyDescent="0.35">
      <c r="A11" s="6">
        <v>42741</v>
      </c>
      <c r="B11" s="5" t="s">
        <v>9</v>
      </c>
      <c r="C11" s="9">
        <v>10000000</v>
      </c>
      <c r="D11" s="9"/>
      <c r="E11" s="5"/>
      <c r="H11" s="3" t="s">
        <v>42</v>
      </c>
      <c r="I11" s="4"/>
      <c r="J11" s="4"/>
      <c r="K11" s="15" t="s">
        <v>4</v>
      </c>
      <c r="L11" s="3"/>
      <c r="M11" s="16">
        <f>C64</f>
        <v>21750000</v>
      </c>
    </row>
    <row r="12" spans="1:13" x14ac:dyDescent="0.35">
      <c r="A12" s="5"/>
      <c r="B12" s="5" t="s">
        <v>8</v>
      </c>
      <c r="C12" s="9"/>
      <c r="D12" s="9">
        <v>10000000</v>
      </c>
      <c r="E12" s="5"/>
      <c r="H12" s="3" t="s">
        <v>43</v>
      </c>
      <c r="I12" s="4"/>
      <c r="J12" s="4"/>
      <c r="K12" s="3"/>
      <c r="L12" s="3"/>
      <c r="M12" s="3"/>
    </row>
    <row r="13" spans="1:13" x14ac:dyDescent="0.35">
      <c r="A13" s="5"/>
      <c r="B13" s="5" t="s">
        <v>3</v>
      </c>
      <c r="C13" s="9">
        <v>3000000</v>
      </c>
      <c r="D13" s="9"/>
      <c r="E13" s="5"/>
      <c r="H13" s="3" t="s">
        <v>44</v>
      </c>
      <c r="I13" s="4"/>
      <c r="J13" s="4"/>
      <c r="K13" s="3"/>
      <c r="L13" s="3"/>
      <c r="M13" s="3"/>
    </row>
    <row r="14" spans="1:13" x14ac:dyDescent="0.35">
      <c r="A14" s="5"/>
      <c r="B14" s="5" t="s">
        <v>9</v>
      </c>
      <c r="C14" s="9"/>
      <c r="D14" s="9">
        <v>3000000</v>
      </c>
      <c r="E14" s="5" t="s">
        <v>11</v>
      </c>
      <c r="H14" s="3" t="s">
        <v>5</v>
      </c>
      <c r="I14" s="4">
        <f>E42</f>
        <v>1400000</v>
      </c>
      <c r="J14" s="4"/>
      <c r="K14" s="3"/>
      <c r="L14" s="3"/>
      <c r="M14" s="3"/>
    </row>
    <row r="15" spans="1:13" x14ac:dyDescent="0.35">
      <c r="A15" s="6">
        <v>42744</v>
      </c>
      <c r="B15" s="5" t="s">
        <v>9</v>
      </c>
      <c r="C15" s="9">
        <v>1200000</v>
      </c>
      <c r="D15" s="9"/>
      <c r="E15" s="5"/>
      <c r="H15" s="3" t="s">
        <v>45</v>
      </c>
      <c r="I15" s="4"/>
      <c r="J15" s="4"/>
      <c r="K15" s="3"/>
      <c r="L15" s="3"/>
      <c r="M15" s="3"/>
    </row>
    <row r="16" spans="1:13" x14ac:dyDescent="0.35">
      <c r="A16" s="5"/>
      <c r="B16" s="5" t="s">
        <v>8</v>
      </c>
      <c r="C16" s="9"/>
      <c r="D16" s="9">
        <v>1200000</v>
      </c>
      <c r="E16" s="5" t="s">
        <v>12</v>
      </c>
      <c r="H16" s="15" t="s">
        <v>49</v>
      </c>
      <c r="I16" s="4"/>
      <c r="J16" s="16">
        <f>SUM(I11:I15)</f>
        <v>1400000</v>
      </c>
      <c r="K16" s="3"/>
      <c r="L16" s="3"/>
      <c r="M16" s="3"/>
    </row>
    <row r="17" spans="1:13" x14ac:dyDescent="0.35">
      <c r="A17" s="6">
        <v>42751</v>
      </c>
      <c r="B17" s="5" t="s">
        <v>6</v>
      </c>
      <c r="C17" s="9">
        <v>1500000</v>
      </c>
      <c r="D17" s="9"/>
      <c r="E17" s="5"/>
      <c r="H17" s="15" t="s">
        <v>50</v>
      </c>
      <c r="I17" s="4"/>
      <c r="J17" s="16">
        <f>J9+J16</f>
        <v>21750000</v>
      </c>
      <c r="K17" s="15" t="s">
        <v>57</v>
      </c>
      <c r="L17" s="15"/>
      <c r="M17" s="16">
        <f>M9+M11</f>
        <v>21750000</v>
      </c>
    </row>
    <row r="18" spans="1:13" x14ac:dyDescent="0.35">
      <c r="A18" s="5"/>
      <c r="B18" s="5" t="s">
        <v>19</v>
      </c>
      <c r="C18" s="9"/>
      <c r="D18" s="9">
        <v>1500000</v>
      </c>
      <c r="E18" s="5" t="s">
        <v>13</v>
      </c>
    </row>
    <row r="19" spans="1:13" x14ac:dyDescent="0.35">
      <c r="A19" s="6">
        <v>42755</v>
      </c>
      <c r="B19" s="5" t="s">
        <v>20</v>
      </c>
      <c r="C19" s="9">
        <v>200000</v>
      </c>
      <c r="D19" s="9"/>
      <c r="E19" s="5" t="s">
        <v>21</v>
      </c>
    </row>
    <row r="20" spans="1:13" x14ac:dyDescent="0.35">
      <c r="A20" s="6"/>
      <c r="B20" s="5" t="s">
        <v>3</v>
      </c>
      <c r="C20" s="9"/>
      <c r="D20" s="9">
        <v>200000</v>
      </c>
      <c r="E20" s="5"/>
    </row>
    <row r="21" spans="1:13" x14ac:dyDescent="0.35">
      <c r="A21" s="6">
        <v>42757</v>
      </c>
      <c r="B21" s="5" t="s">
        <v>6</v>
      </c>
      <c r="C21" s="9">
        <v>150000</v>
      </c>
      <c r="D21" s="9"/>
      <c r="E21" s="5"/>
    </row>
    <row r="22" spans="1:13" x14ac:dyDescent="0.35">
      <c r="A22" s="5"/>
      <c r="B22" s="5" t="s">
        <v>5</v>
      </c>
      <c r="C22" s="9">
        <v>400000</v>
      </c>
      <c r="D22" s="9"/>
      <c r="E22" s="5"/>
    </row>
    <row r="23" spans="1:13" x14ac:dyDescent="0.35">
      <c r="A23" s="5"/>
      <c r="B23" s="5" t="s">
        <v>3</v>
      </c>
      <c r="C23" s="9"/>
      <c r="D23" s="9">
        <f>C21+C22</f>
        <v>550000</v>
      </c>
      <c r="E23" s="5"/>
    </row>
    <row r="24" spans="1:13" x14ac:dyDescent="0.35">
      <c r="A24" s="6">
        <v>42758</v>
      </c>
      <c r="B24" s="5" t="s">
        <v>14</v>
      </c>
      <c r="C24" s="9">
        <v>150000</v>
      </c>
      <c r="D24" s="9"/>
      <c r="E24" s="5"/>
    </row>
    <row r="25" spans="1:13" x14ac:dyDescent="0.35">
      <c r="A25" s="5"/>
      <c r="B25" s="5" t="s">
        <v>3</v>
      </c>
      <c r="C25" s="9"/>
      <c r="D25" s="9">
        <v>150000</v>
      </c>
      <c r="E25" s="5"/>
    </row>
    <row r="26" spans="1:13" x14ac:dyDescent="0.35">
      <c r="A26" s="6">
        <v>42762</v>
      </c>
      <c r="B26" s="5" t="s">
        <v>3</v>
      </c>
      <c r="C26" s="9">
        <v>800000</v>
      </c>
      <c r="D26" s="9"/>
      <c r="E26" s="5"/>
    </row>
    <row r="27" spans="1:13" x14ac:dyDescent="0.35">
      <c r="A27" s="5"/>
      <c r="B27" s="5" t="s">
        <v>8</v>
      </c>
      <c r="C27" s="9"/>
      <c r="D27" s="9">
        <v>800000</v>
      </c>
      <c r="E27" s="5"/>
    </row>
    <row r="28" spans="1:13" x14ac:dyDescent="0.35">
      <c r="A28" s="6">
        <v>42763</v>
      </c>
      <c r="B28" s="5" t="s">
        <v>19</v>
      </c>
      <c r="C28" s="9">
        <v>1500000</v>
      </c>
      <c r="D28" s="9"/>
      <c r="E28" s="5" t="s">
        <v>15</v>
      </c>
    </row>
    <row r="29" spans="1:13" x14ac:dyDescent="0.35">
      <c r="A29" s="5"/>
      <c r="B29" s="5" t="s">
        <v>3</v>
      </c>
      <c r="C29" s="9"/>
      <c r="D29" s="9">
        <v>1500000</v>
      </c>
      <c r="E29" s="5"/>
    </row>
    <row r="30" spans="1:13" x14ac:dyDescent="0.35">
      <c r="A30" s="6">
        <v>42764</v>
      </c>
      <c r="B30" s="5" t="s">
        <v>3</v>
      </c>
      <c r="C30" s="9">
        <v>1200000</v>
      </c>
      <c r="D30" s="9"/>
      <c r="E30" s="5"/>
    </row>
    <row r="31" spans="1:13" x14ac:dyDescent="0.35">
      <c r="A31" s="5"/>
      <c r="B31" s="5" t="s">
        <v>9</v>
      </c>
      <c r="C31" s="9"/>
      <c r="D31" s="9">
        <v>1200000</v>
      </c>
      <c r="E31" s="5"/>
    </row>
    <row r="32" spans="1:13" x14ac:dyDescent="0.35">
      <c r="A32" s="5"/>
      <c r="B32" s="5" t="s">
        <v>22</v>
      </c>
      <c r="C32" s="9">
        <v>300000</v>
      </c>
      <c r="D32" s="9"/>
      <c r="E32" s="5"/>
    </row>
    <row r="33" spans="1:6" x14ac:dyDescent="0.35">
      <c r="A33" s="5"/>
      <c r="B33" s="5" t="s">
        <v>3</v>
      </c>
      <c r="C33" s="9"/>
      <c r="D33" s="9">
        <v>300000</v>
      </c>
      <c r="E33" s="5"/>
    </row>
    <row r="34" spans="1:6" x14ac:dyDescent="0.35">
      <c r="A34" s="6">
        <v>42765</v>
      </c>
      <c r="B34" s="5" t="s">
        <v>3</v>
      </c>
      <c r="C34" s="9">
        <v>7000000</v>
      </c>
      <c r="D34" s="9"/>
      <c r="E34" s="5"/>
    </row>
    <row r="35" spans="1:6" x14ac:dyDescent="0.35">
      <c r="A35" s="5"/>
      <c r="B35" s="5" t="s">
        <v>9</v>
      </c>
      <c r="C35" s="9"/>
      <c r="D35" s="9">
        <v>7000000</v>
      </c>
      <c r="E35" s="5" t="s">
        <v>16</v>
      </c>
    </row>
    <row r="36" spans="1:6" x14ac:dyDescent="0.35">
      <c r="A36" s="10" t="s">
        <v>17</v>
      </c>
      <c r="B36" s="10"/>
      <c r="C36" s="11">
        <f>SUM(C2:C35)</f>
        <v>41050000</v>
      </c>
      <c r="D36" s="11">
        <f>SUM(D2:D35)</f>
        <v>41050000</v>
      </c>
      <c r="E36" s="7"/>
      <c r="F36" s="2"/>
    </row>
    <row r="38" spans="1:6" x14ac:dyDescent="0.35">
      <c r="B38" s="13" t="s">
        <v>18</v>
      </c>
      <c r="C38" s="14" t="s">
        <v>23</v>
      </c>
      <c r="D38" s="14"/>
      <c r="E38" s="8" t="s">
        <v>24</v>
      </c>
      <c r="F38" s="8"/>
    </row>
    <row r="39" spans="1:6" x14ac:dyDescent="0.35">
      <c r="B39" s="13"/>
      <c r="C39" s="4" t="s">
        <v>25</v>
      </c>
      <c r="D39" s="4" t="s">
        <v>26</v>
      </c>
      <c r="E39" s="3" t="s">
        <v>25</v>
      </c>
      <c r="F39" s="3" t="s">
        <v>26</v>
      </c>
    </row>
    <row r="40" spans="1:6" x14ac:dyDescent="0.35">
      <c r="B40" s="3" t="str" cm="1">
        <f t="array" ref="B40:B50">_xlfn.UNIQUE(B2:B35)</f>
        <v>Kas</v>
      </c>
      <c r="C40" s="4">
        <f>SUMIF(B2:B35,B40,C2:C35)</f>
        <v>22400000</v>
      </c>
      <c r="D40" s="4">
        <f>SUMIF(B2:B35,B40,D2:D35)</f>
        <v>5950000</v>
      </c>
      <c r="E40" s="4">
        <f>SUM(C40-D40)</f>
        <v>16450000</v>
      </c>
      <c r="F40" s="4">
        <v>0</v>
      </c>
    </row>
    <row r="41" spans="1:6" x14ac:dyDescent="0.35">
      <c r="B41" s="3" t="str">
        <v>Modal</v>
      </c>
      <c r="C41" s="4">
        <f t="shared" ref="C41:C50" si="0">SUMIF(B3:B36,B41,C3:C36)</f>
        <v>0</v>
      </c>
      <c r="D41" s="4">
        <f t="shared" ref="D41:D50" si="1">SUMIF(B3:B36,B41,D3:D36)</f>
        <v>10000000</v>
      </c>
      <c r="E41" s="4">
        <v>0</v>
      </c>
      <c r="F41" s="4">
        <f t="shared" ref="F41:F47" si="2">D41-C41</f>
        <v>10000000</v>
      </c>
    </row>
    <row r="42" spans="1:6" x14ac:dyDescent="0.35">
      <c r="B42" s="3" t="str">
        <v>Peralatan</v>
      </c>
      <c r="C42" s="4">
        <f t="shared" si="0"/>
        <v>1400000</v>
      </c>
      <c r="D42" s="4">
        <f t="shared" si="1"/>
        <v>0</v>
      </c>
      <c r="E42" s="4">
        <f t="shared" ref="E42:E50" si="3">SUM(C42-D42)</f>
        <v>1400000</v>
      </c>
      <c r="F42" s="4">
        <v>0</v>
      </c>
    </row>
    <row r="43" spans="1:6" x14ac:dyDescent="0.35">
      <c r="B43" s="3" t="str">
        <v>Perlengkapan</v>
      </c>
      <c r="C43" s="4">
        <f t="shared" si="0"/>
        <v>1900000</v>
      </c>
      <c r="D43" s="4">
        <f t="shared" si="1"/>
        <v>0</v>
      </c>
      <c r="E43" s="4">
        <f t="shared" si="3"/>
        <v>1900000</v>
      </c>
      <c r="F43" s="4">
        <v>0</v>
      </c>
    </row>
    <row r="44" spans="1:6" x14ac:dyDescent="0.35">
      <c r="B44" s="3" t="str">
        <v>Sewa dibayar dimuka</v>
      </c>
      <c r="C44" s="4">
        <f t="shared" si="0"/>
        <v>2000000</v>
      </c>
      <c r="D44" s="4">
        <f t="shared" si="1"/>
        <v>0</v>
      </c>
      <c r="E44" s="4">
        <f t="shared" si="3"/>
        <v>2000000</v>
      </c>
      <c r="F44" s="4">
        <v>0</v>
      </c>
    </row>
    <row r="45" spans="1:6" x14ac:dyDescent="0.35">
      <c r="B45" s="3" t="str">
        <v>Pendapatan</v>
      </c>
      <c r="C45" s="4">
        <f t="shared" si="0"/>
        <v>0</v>
      </c>
      <c r="D45" s="4">
        <f t="shared" si="1"/>
        <v>12400000</v>
      </c>
      <c r="E45" s="4">
        <v>0</v>
      </c>
      <c r="F45" s="4">
        <f t="shared" si="2"/>
        <v>12400000</v>
      </c>
    </row>
    <row r="46" spans="1:6" x14ac:dyDescent="0.35">
      <c r="B46" s="3" t="str">
        <v>Piutang</v>
      </c>
      <c r="C46" s="4">
        <f t="shared" si="0"/>
        <v>11200000</v>
      </c>
      <c r="D46" s="4">
        <f t="shared" si="1"/>
        <v>11200000</v>
      </c>
      <c r="E46" s="4">
        <f t="shared" si="3"/>
        <v>0</v>
      </c>
      <c r="F46" s="4">
        <f t="shared" si="2"/>
        <v>0</v>
      </c>
    </row>
    <row r="47" spans="1:6" x14ac:dyDescent="0.35">
      <c r="B47" s="3" t="str">
        <v>Utang</v>
      </c>
      <c r="C47" s="4">
        <f t="shared" si="0"/>
        <v>1500000</v>
      </c>
      <c r="D47" s="4">
        <f t="shared" si="1"/>
        <v>1500000</v>
      </c>
      <c r="E47" s="4">
        <f t="shared" si="3"/>
        <v>0</v>
      </c>
      <c r="F47" s="4">
        <f t="shared" si="2"/>
        <v>0</v>
      </c>
    </row>
    <row r="48" spans="1:6" x14ac:dyDescent="0.35">
      <c r="B48" s="3" t="str">
        <v>Beban utilitas</v>
      </c>
      <c r="C48" s="4">
        <f t="shared" si="0"/>
        <v>200000</v>
      </c>
      <c r="D48" s="4">
        <f t="shared" si="1"/>
        <v>0</v>
      </c>
      <c r="E48" s="4">
        <f t="shared" si="3"/>
        <v>200000</v>
      </c>
      <c r="F48" s="4">
        <v>0</v>
      </c>
    </row>
    <row r="49" spans="2:6" x14ac:dyDescent="0.35">
      <c r="B49" s="3" t="str">
        <v xml:space="preserve">Prive </v>
      </c>
      <c r="C49" s="4">
        <f t="shared" si="0"/>
        <v>150000</v>
      </c>
      <c r="D49" s="4">
        <f t="shared" si="1"/>
        <v>0</v>
      </c>
      <c r="E49" s="4">
        <f t="shared" si="3"/>
        <v>150000</v>
      </c>
      <c r="F49" s="4">
        <v>0</v>
      </c>
    </row>
    <row r="50" spans="2:6" x14ac:dyDescent="0.35">
      <c r="B50" s="3" t="str">
        <v>Beban gaji</v>
      </c>
      <c r="C50" s="4">
        <f t="shared" si="0"/>
        <v>300000</v>
      </c>
      <c r="D50" s="4">
        <f t="shared" si="1"/>
        <v>0</v>
      </c>
      <c r="E50" s="4">
        <f t="shared" si="3"/>
        <v>300000</v>
      </c>
      <c r="F50" s="4">
        <v>0</v>
      </c>
    </row>
    <row r="52" spans="2:6" x14ac:dyDescent="0.35">
      <c r="B52" s="17" t="s">
        <v>27</v>
      </c>
      <c r="C52" s="18"/>
    </row>
    <row r="53" spans="2:6" x14ac:dyDescent="0.35">
      <c r="B53" s="15" t="s">
        <v>29</v>
      </c>
      <c r="C53" s="4">
        <f>F45</f>
        <v>12400000</v>
      </c>
    </row>
    <row r="54" spans="2:6" x14ac:dyDescent="0.35">
      <c r="B54" s="3" t="s">
        <v>28</v>
      </c>
      <c r="C54" s="4"/>
    </row>
    <row r="55" spans="2:6" x14ac:dyDescent="0.35">
      <c r="B55" s="3" t="s">
        <v>30</v>
      </c>
      <c r="C55" s="4">
        <f>E48</f>
        <v>200000</v>
      </c>
    </row>
    <row r="56" spans="2:6" x14ac:dyDescent="0.35">
      <c r="B56" s="3" t="s">
        <v>31</v>
      </c>
      <c r="C56" s="4">
        <f>E50</f>
        <v>300000</v>
      </c>
    </row>
    <row r="57" spans="2:6" x14ac:dyDescent="0.35">
      <c r="B57" s="15" t="s">
        <v>32</v>
      </c>
      <c r="C57" s="4">
        <f>SUM(C55:C56)</f>
        <v>500000</v>
      </c>
    </row>
    <row r="58" spans="2:6" x14ac:dyDescent="0.35">
      <c r="B58" s="15" t="s">
        <v>33</v>
      </c>
      <c r="C58" s="16">
        <f>C53-C57</f>
        <v>11900000</v>
      </c>
    </row>
    <row r="60" spans="2:6" x14ac:dyDescent="0.35">
      <c r="B60" s="8" t="s">
        <v>37</v>
      </c>
      <c r="C60" s="8"/>
    </row>
    <row r="61" spans="2:6" x14ac:dyDescent="0.35">
      <c r="B61" s="3" t="s">
        <v>34</v>
      </c>
      <c r="C61" s="4">
        <f>F41</f>
        <v>10000000</v>
      </c>
    </row>
    <row r="62" spans="2:6" x14ac:dyDescent="0.35">
      <c r="B62" s="3" t="s">
        <v>35</v>
      </c>
      <c r="C62" s="4">
        <f>E49</f>
        <v>150000</v>
      </c>
    </row>
    <row r="63" spans="2:6" x14ac:dyDescent="0.35">
      <c r="B63" s="3" t="s">
        <v>33</v>
      </c>
      <c r="C63" s="4">
        <f>C58</f>
        <v>11900000</v>
      </c>
    </row>
    <row r="64" spans="2:6" x14ac:dyDescent="0.35">
      <c r="B64" s="15" t="s">
        <v>36</v>
      </c>
      <c r="C64" s="16">
        <f>(C61-C62)+C63</f>
        <v>21750000</v>
      </c>
    </row>
  </sheetData>
  <mergeCells count="8">
    <mergeCell ref="B52:C52"/>
    <mergeCell ref="B60:C60"/>
    <mergeCell ref="H1:M1"/>
    <mergeCell ref="H2:M2"/>
    <mergeCell ref="A36:B36"/>
    <mergeCell ref="C38:D38"/>
    <mergeCell ref="E38:F38"/>
    <mergeCell ref="B38:B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Hargreeves</dc:creator>
  <cp:lastModifiedBy>Zain Hargreeves</cp:lastModifiedBy>
  <dcterms:created xsi:type="dcterms:W3CDTF">2026-10-02T01:37:27Z</dcterms:created>
  <dcterms:modified xsi:type="dcterms:W3CDTF">2026-10-03T08:41:06Z</dcterms:modified>
</cp:coreProperties>
</file>