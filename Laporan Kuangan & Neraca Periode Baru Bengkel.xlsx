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ainu\Downloads\"/>
    </mc:Choice>
  </mc:AlternateContent>
  <xr:revisionPtr revIDLastSave="0" documentId="13_ncr:1_{0E49BE78-B83B-4CDE-9CD8-F1F2B21455BC}" xr6:coauthVersionLast="47" xr6:coauthVersionMax="47" xr10:uidLastSave="{00000000-0000-0000-0000-000000000000}"/>
  <bookViews>
    <workbookView xWindow="-110" yWindow="-110" windowWidth="19420" windowHeight="11500" firstSheet="2" activeTab="5" xr2:uid="{298032BA-AB7F-46D5-96E1-586021F681F4}"/>
  </bookViews>
  <sheets>
    <sheet name="Laporan" sheetId="1" r:id="rId1"/>
    <sheet name="Perincian Laporan" sheetId="2" r:id="rId2"/>
    <sheet name="Buku Besar" sheetId="3" r:id="rId3"/>
    <sheet name="Buku Besar Pembantu" sheetId="5" r:id="rId4"/>
    <sheet name="Jurnal Penutup" sheetId="4" r:id="rId5"/>
    <sheet name="Neraca Awal Periode Baru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6" i="6" l="1"/>
  <c r="F13" i="6"/>
  <c r="E8" i="6"/>
  <c r="E7" i="6"/>
  <c r="E6" i="6"/>
  <c r="F11" i="6" s="1"/>
  <c r="F18" i="6" s="1"/>
  <c r="B15" i="6"/>
  <c r="B9" i="6"/>
  <c r="B8" i="6"/>
  <c r="B7" i="6"/>
  <c r="B6" i="6"/>
  <c r="B5" i="6"/>
  <c r="C17" i="6"/>
  <c r="C10" i="6"/>
  <c r="L13" i="3"/>
  <c r="K14" i="3"/>
  <c r="K23" i="3"/>
  <c r="L23" i="3"/>
  <c r="L22" i="3"/>
  <c r="K21" i="3"/>
  <c r="K20" i="3"/>
  <c r="K19" i="3"/>
  <c r="K18" i="3"/>
  <c r="K17" i="3"/>
  <c r="K16" i="3"/>
  <c r="L15" i="3"/>
  <c r="F132" i="3"/>
  <c r="E132" i="3"/>
  <c r="E126" i="3"/>
  <c r="E120" i="3"/>
  <c r="E114" i="3"/>
  <c r="E108" i="3"/>
  <c r="E101" i="3"/>
  <c r="E85" i="3"/>
  <c r="D79" i="3"/>
  <c r="E78" i="3"/>
  <c r="D139" i="3"/>
  <c r="D138" i="3"/>
  <c r="E137" i="3"/>
  <c r="G137" i="3" s="1"/>
  <c r="G138" i="3" s="1"/>
  <c r="G139" i="3" s="1"/>
  <c r="D95" i="3"/>
  <c r="F12" i="5"/>
  <c r="F19" i="5"/>
  <c r="F18" i="5"/>
  <c r="F17" i="5"/>
  <c r="F7" i="5"/>
  <c r="F6" i="5"/>
  <c r="G66" i="3"/>
  <c r="G67" i="3" s="1"/>
  <c r="L11" i="3" s="1"/>
  <c r="F131" i="3"/>
  <c r="F100" i="3"/>
  <c r="F125" i="3"/>
  <c r="F119" i="3"/>
  <c r="F113" i="3"/>
  <c r="F106" i="3"/>
  <c r="G90" i="3"/>
  <c r="G91" i="3" s="1"/>
  <c r="G92" i="3" s="1"/>
  <c r="G93" i="3" s="1"/>
  <c r="G94" i="3" s="1"/>
  <c r="F84" i="3"/>
  <c r="G77" i="3"/>
  <c r="G72" i="3"/>
  <c r="L12" i="3" s="1"/>
  <c r="G61" i="3"/>
  <c r="L10" i="3" s="1"/>
  <c r="G56" i="3"/>
  <c r="L9" i="3" s="1"/>
  <c r="F51" i="3"/>
  <c r="K8" i="3" s="1"/>
  <c r="F45" i="3"/>
  <c r="F46" i="3" s="1"/>
  <c r="K7" i="3" s="1"/>
  <c r="F39" i="3"/>
  <c r="F40" i="3" s="1"/>
  <c r="K6" i="3" s="1"/>
  <c r="F31" i="3"/>
  <c r="F32" i="3" s="1"/>
  <c r="F33" i="3" s="1"/>
  <c r="F34" i="3" s="1"/>
  <c r="K5" i="3" s="1"/>
  <c r="F21" i="3"/>
  <c r="F22" i="3" s="1"/>
  <c r="F23" i="3" s="1"/>
  <c r="F24" i="3" s="1"/>
  <c r="F25" i="3" s="1"/>
  <c r="F26" i="3" s="1"/>
  <c r="K4" i="3" s="1"/>
  <c r="F4" i="3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K3" i="3" s="1"/>
  <c r="B43" i="1" a="1"/>
  <c r="J21" i="3" s="1"/>
  <c r="C16" i="2"/>
  <c r="C15" i="2"/>
  <c r="C14" i="2"/>
  <c r="C5" i="2"/>
  <c r="C8" i="2" s="1"/>
  <c r="C17" i="2"/>
  <c r="C38" i="1"/>
  <c r="D7" i="1"/>
  <c r="D38" i="1" s="1"/>
  <c r="C18" i="6" l="1"/>
  <c r="F126" i="3"/>
  <c r="F120" i="3"/>
  <c r="F114" i="3"/>
  <c r="F101" i="3"/>
  <c r="F85" i="3"/>
  <c r="G78" i="3"/>
  <c r="G79" i="3" s="1"/>
  <c r="G95" i="3"/>
  <c r="F107" i="3"/>
  <c r="J19" i="3"/>
  <c r="J20" i="3"/>
  <c r="J17" i="3"/>
  <c r="J18" i="3"/>
  <c r="J15" i="3"/>
  <c r="J16" i="3"/>
  <c r="J13" i="3"/>
  <c r="J14" i="3"/>
  <c r="J11" i="3"/>
  <c r="J12" i="3"/>
  <c r="J9" i="3"/>
  <c r="J10" i="3"/>
  <c r="J7" i="3"/>
  <c r="J8" i="3"/>
  <c r="J5" i="3"/>
  <c r="J6" i="3"/>
  <c r="J3" i="3"/>
  <c r="J4" i="3"/>
  <c r="F47" i="1"/>
  <c r="C47" i="1"/>
  <c r="F44" i="1"/>
  <c r="F48" i="1"/>
  <c r="F49" i="1"/>
  <c r="F50" i="1"/>
  <c r="F51" i="1"/>
  <c r="F52" i="1"/>
  <c r="F53" i="1"/>
  <c r="F54" i="1"/>
  <c r="F55" i="1"/>
  <c r="F57" i="1"/>
  <c r="F59" i="1"/>
  <c r="E44" i="1"/>
  <c r="E45" i="1"/>
  <c r="E46" i="1"/>
  <c r="E48" i="1"/>
  <c r="E50" i="1"/>
  <c r="E52" i="1"/>
  <c r="E54" i="1"/>
  <c r="E56" i="1"/>
  <c r="E58" i="1"/>
  <c r="E43" i="1"/>
  <c r="F45" i="1"/>
  <c r="F56" i="1"/>
  <c r="F58" i="1"/>
  <c r="F43" i="1"/>
  <c r="E47" i="1"/>
  <c r="E49" i="1"/>
  <c r="E51" i="1"/>
  <c r="E53" i="1"/>
  <c r="E55" i="1"/>
  <c r="E57" i="1"/>
  <c r="D45" i="1"/>
  <c r="D50" i="1"/>
  <c r="D55" i="1"/>
  <c r="D59" i="1"/>
  <c r="C48" i="1"/>
  <c r="C50" i="1"/>
  <c r="C53" i="1"/>
  <c r="C54" i="1"/>
  <c r="C55" i="1"/>
  <c r="C56" i="1"/>
  <c r="C57" i="1"/>
  <c r="C58" i="1"/>
  <c r="C59" i="1"/>
  <c r="C60" i="1"/>
  <c r="C61" i="1"/>
  <c r="C43" i="1"/>
  <c r="D44" i="1"/>
  <c r="D47" i="1"/>
  <c r="D49" i="1"/>
  <c r="D52" i="1"/>
  <c r="D54" i="1"/>
  <c r="D57" i="1"/>
  <c r="D60" i="1"/>
  <c r="D43" i="1"/>
  <c r="C44" i="1"/>
  <c r="C46" i="1"/>
  <c r="C51" i="1"/>
  <c r="D46" i="1"/>
  <c r="D48" i="1"/>
  <c r="D51" i="1"/>
  <c r="D53" i="1"/>
  <c r="D56" i="1"/>
  <c r="D58" i="1"/>
  <c r="D61" i="1"/>
  <c r="C45" i="1"/>
  <c r="C49" i="1"/>
  <c r="C52" i="1"/>
  <c r="H13" i="1"/>
  <c r="E61" i="1" s="1"/>
  <c r="I14" i="1"/>
  <c r="F46" i="1" s="1"/>
  <c r="E5" i="2"/>
  <c r="C9" i="2" s="1"/>
  <c r="F108" i="3" l="1"/>
  <c r="H55" i="1"/>
  <c r="O7" i="1" s="1"/>
  <c r="G47" i="1"/>
  <c r="L9" i="1" s="1"/>
  <c r="H58" i="1"/>
  <c r="O8" i="1" s="1"/>
  <c r="H49" i="1"/>
  <c r="C65" i="1" s="1"/>
  <c r="G51" i="1"/>
  <c r="C68" i="1" s="1"/>
  <c r="D8" i="4" s="1"/>
  <c r="G43" i="1"/>
  <c r="L5" i="1" s="1"/>
  <c r="C62" i="1"/>
  <c r="D62" i="1"/>
  <c r="G57" i="1"/>
  <c r="C70" i="1" s="1"/>
  <c r="D10" i="4" s="1"/>
  <c r="G45" i="1"/>
  <c r="L15" i="1" s="1"/>
  <c r="G52" i="1"/>
  <c r="G56" i="1"/>
  <c r="C69" i="1" s="1"/>
  <c r="D9" i="4" s="1"/>
  <c r="H44" i="1"/>
  <c r="C77" i="1" s="1"/>
  <c r="G48" i="1"/>
  <c r="L6" i="1" s="1"/>
  <c r="G54" i="1"/>
  <c r="L8" i="1" s="1"/>
  <c r="H47" i="1"/>
  <c r="G46" i="1"/>
  <c r="L7" i="1" s="1"/>
  <c r="H50" i="1"/>
  <c r="O6" i="1" s="1"/>
  <c r="G53" i="1"/>
  <c r="C67" i="1" s="1"/>
  <c r="D7" i="4" s="1"/>
  <c r="I12" i="1"/>
  <c r="H11" i="1"/>
  <c r="C10" i="2"/>
  <c r="D4" i="4" l="1"/>
  <c r="C3" i="4"/>
  <c r="C78" i="1"/>
  <c r="C17" i="4"/>
  <c r="D18" i="4"/>
  <c r="P11" i="1"/>
  <c r="M10" i="1"/>
  <c r="F61" i="1"/>
  <c r="G61" i="1" s="1"/>
  <c r="C72" i="1" s="1"/>
  <c r="D12" i="4" s="1"/>
  <c r="F60" i="1"/>
  <c r="E60" i="1"/>
  <c r="E59" i="1"/>
  <c r="G59" i="1" s="1"/>
  <c r="C71" i="1" s="1"/>
  <c r="D11" i="4" s="1"/>
  <c r="C6" i="4" l="1"/>
  <c r="H60" i="1"/>
  <c r="C73" i="1"/>
  <c r="C74" i="1" s="1"/>
  <c r="G62" i="1"/>
  <c r="C79" i="1" l="1"/>
  <c r="C80" i="1" s="1"/>
  <c r="P13" i="1" s="1"/>
  <c r="P18" i="1" s="1"/>
  <c r="D15" i="4"/>
  <c r="D19" i="4" s="1"/>
  <c r="C14" i="4"/>
  <c r="C19" i="4" s="1"/>
  <c r="H62" i="1"/>
  <c r="M16" i="1"/>
  <c r="M17" i="1" s="1"/>
  <c r="M18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<sst xmlns="http://schemas.openxmlformats.org/spreadsheetml/2006/main" count="543" uniqueCount="145">
  <si>
    <t>General Ledger</t>
  </si>
  <si>
    <t>Tanggal</t>
  </si>
  <si>
    <t>Nama Akun</t>
  </si>
  <si>
    <t>Debit</t>
  </si>
  <si>
    <t>Credit</t>
  </si>
  <si>
    <t>Kas</t>
  </si>
  <si>
    <t>Modal</t>
  </si>
  <si>
    <t>Peralatan</t>
  </si>
  <si>
    <t>Perlengkapan</t>
  </si>
  <si>
    <t>Sewa dibayar dimuka</t>
  </si>
  <si>
    <t>Piutang</t>
  </si>
  <si>
    <t>Pendapatan</t>
  </si>
  <si>
    <t>Hutang</t>
  </si>
  <si>
    <t>Beban Gaji</t>
  </si>
  <si>
    <t>Sewa Dibayar Dimuka</t>
  </si>
  <si>
    <t>Prive</t>
  </si>
  <si>
    <t>Beban Utilitas</t>
  </si>
  <si>
    <t>Asuransi Dibayar Dimuka</t>
  </si>
  <si>
    <t>Pendapatan Diterima Dimuka</t>
  </si>
  <si>
    <t>Total</t>
  </si>
  <si>
    <t>AJP</t>
  </si>
  <si>
    <t>Kredit</t>
  </si>
  <si>
    <t>Beban Sewa</t>
  </si>
  <si>
    <t>Beban Asuransi</t>
  </si>
  <si>
    <t>Asuransi dibayar dimuka</t>
  </si>
  <si>
    <t>Pendapatan diterima dimuka</t>
  </si>
  <si>
    <t>Beban penyusutan peralatan</t>
  </si>
  <si>
    <t>Akumulasi penyusutan peralatan</t>
  </si>
  <si>
    <t>Beban Perlengkapan</t>
  </si>
  <si>
    <t>Perincian Penyusutan Peralatan</t>
  </si>
  <si>
    <t>Tanggal Perolehan</t>
  </si>
  <si>
    <t>Tahun</t>
  </si>
  <si>
    <t>Nilai Perolehan</t>
  </si>
  <si>
    <t>Disusutkan(Tahun)</t>
  </si>
  <si>
    <t>Nilai Penyusutan Pertahun</t>
  </si>
  <si>
    <t>Penyusutan Hingga 2017</t>
  </si>
  <si>
    <t>Nilai Buku 2017</t>
  </si>
  <si>
    <t>Sisah Stok</t>
  </si>
  <si>
    <t>Total Nilai Peralatan</t>
  </si>
  <si>
    <t>Jurnal Umum</t>
  </si>
  <si>
    <t>Ayat Jurnal Penyesuaian</t>
  </si>
  <si>
    <t>Saldo Akhir</t>
  </si>
  <si>
    <t>Hutang Gaji</t>
  </si>
  <si>
    <t>Pendapatan Usaha</t>
  </si>
  <si>
    <t>Beban Usaha</t>
  </si>
  <si>
    <t xml:space="preserve">Beban Penyusutan Peralatan </t>
  </si>
  <si>
    <t>Total Beban</t>
  </si>
  <si>
    <t>Laba Bersih</t>
  </si>
  <si>
    <t>Trial Balance</t>
  </si>
  <si>
    <t>Income Statement</t>
  </si>
  <si>
    <t>Laporan Perubahan Modal</t>
  </si>
  <si>
    <t>Modal Awal</t>
  </si>
  <si>
    <t>Modal Akhir</t>
  </si>
  <si>
    <t>Neraca Saldo (Balance Sheet)</t>
  </si>
  <si>
    <t>Periode Akhir Jan 2017</t>
  </si>
  <si>
    <t>Aktiva(Assets)</t>
  </si>
  <si>
    <t>Passiva</t>
  </si>
  <si>
    <t>Aktiva Lancar</t>
  </si>
  <si>
    <t>Hutang Lancar</t>
  </si>
  <si>
    <t>Hutang Usaha</t>
  </si>
  <si>
    <t>Hutang Jangka Panjang</t>
  </si>
  <si>
    <t>Total Aktiva Lancar</t>
  </si>
  <si>
    <t>Hutang Bank</t>
  </si>
  <si>
    <t>Aktiva Tetap</t>
  </si>
  <si>
    <t>Total Utang</t>
  </si>
  <si>
    <t>Tanah</t>
  </si>
  <si>
    <t>Bangunan</t>
  </si>
  <si>
    <t>Akumulasi Penyusutan Bangunan</t>
  </si>
  <si>
    <t>Akumulasi Penyusutan Peralatan</t>
  </si>
  <si>
    <t>Total Aktiva Tetap</t>
  </si>
  <si>
    <t>Total Aktiva</t>
  </si>
  <si>
    <t>Total Utang &amp; Modal</t>
  </si>
  <si>
    <t>1.1</t>
  </si>
  <si>
    <t>Keterangan</t>
  </si>
  <si>
    <t>Ref</t>
  </si>
  <si>
    <t>Saldo</t>
  </si>
  <si>
    <t>JU</t>
  </si>
  <si>
    <t>Setoran Awal</t>
  </si>
  <si>
    <t>Pembelian Peralatan dan Perlengkapan</t>
  </si>
  <si>
    <t>Pembayaran Sewa Dibayar Dimuka</t>
  </si>
  <si>
    <t>Menerima Piutang</t>
  </si>
  <si>
    <t>Menerima Pendapatan</t>
  </si>
  <si>
    <t>Pembelian Perlengkapan</t>
  </si>
  <si>
    <t>Membayar Biaya Gaji</t>
  </si>
  <si>
    <t>Pengambilan Prive</t>
  </si>
  <si>
    <t>Membayar Biaya Utilitas</t>
  </si>
  <si>
    <t>Membayar Asuransi Dibayar Dimuka</t>
  </si>
  <si>
    <t>Menerima Pendapatan Diterima Dimuka</t>
  </si>
  <si>
    <t>Piutang Cat Mobil Pak Joko</t>
  </si>
  <si>
    <t>Piutang Pak Agung</t>
  </si>
  <si>
    <t>Piutang Orderan Job</t>
  </si>
  <si>
    <t>Piutang Tanggal 3 Jan 2017 Dibayar</t>
  </si>
  <si>
    <t>Piutang Tanggal 9 Jan 2017 Dibayar</t>
  </si>
  <si>
    <t>Pembelian Perlengkapan Secara Tunai</t>
  </si>
  <si>
    <t>Pembelian Perlengkapan Dibayar Akhir Bulan</t>
  </si>
  <si>
    <t>Penyesuaaian Perlengkapan</t>
  </si>
  <si>
    <t>Pembayaran Asuransi Dibayar Dimuka Secara Tunai</t>
  </si>
  <si>
    <t>Penyesuaian Asuransi Dibayar Dimuka</t>
  </si>
  <si>
    <t>Penyesuaian Sewa Dibayar Dimuka</t>
  </si>
  <si>
    <t>Pembelian Peralatan</t>
  </si>
  <si>
    <t>Penyesuaian Penyusutan Peralatan</t>
  </si>
  <si>
    <t>Hutang Perlengkapan Bengkel Toko Agung</t>
  </si>
  <si>
    <t>Penyesuaian Atas Gaji Desember</t>
  </si>
  <si>
    <t>Penarikan Prive</t>
  </si>
  <si>
    <t>Penyesuaian Pendapatan Diterima Dimuka</t>
  </si>
  <si>
    <t>Pendapatan Dari Pak Joko</t>
  </si>
  <si>
    <t>Pendapatan Dari Pak Agung</t>
  </si>
  <si>
    <t>Pendapatan Diterima</t>
  </si>
  <si>
    <t>Biaya Utilitas</t>
  </si>
  <si>
    <t>Beban Penyusutan Peralatan</t>
  </si>
  <si>
    <t>Membayar Uang Listrik dan Telepon</t>
  </si>
  <si>
    <t>Penyesuaian Gaji Karyawan Bulan Desember</t>
  </si>
  <si>
    <t>Penyesuaian Akumulasi Penyusutan Perlatan</t>
  </si>
  <si>
    <t>Penyesuaian Perlengkapan Akhir Tahun</t>
  </si>
  <si>
    <t>Neraca Saldo</t>
  </si>
  <si>
    <t>No Akun</t>
  </si>
  <si>
    <t>1.2</t>
  </si>
  <si>
    <t>1.3</t>
  </si>
  <si>
    <t>1.5</t>
  </si>
  <si>
    <t>1.6</t>
  </si>
  <si>
    <t>1.7</t>
  </si>
  <si>
    <t>1.7.1</t>
  </si>
  <si>
    <t>2.1</t>
  </si>
  <si>
    <t>2.2</t>
  </si>
  <si>
    <t>2.3</t>
  </si>
  <si>
    <t>3.1</t>
  </si>
  <si>
    <t>3.2</t>
  </si>
  <si>
    <t>4.1</t>
  </si>
  <si>
    <t>5.1</t>
  </si>
  <si>
    <t>5.2</t>
  </si>
  <si>
    <t>5.3</t>
  </si>
  <si>
    <t>5.4</t>
  </si>
  <si>
    <t>5.5</t>
  </si>
  <si>
    <t>5.6</t>
  </si>
  <si>
    <t>Jurnal</t>
  </si>
  <si>
    <t>Pembantu Piutang</t>
  </si>
  <si>
    <t>Pak Joko</t>
  </si>
  <si>
    <t>Pak Agung</t>
  </si>
  <si>
    <t>Orderan</t>
  </si>
  <si>
    <t>Pelunasan Piutang</t>
  </si>
  <si>
    <t>Jurnal Penutup</t>
  </si>
  <si>
    <t>Ikhtisar Laba Rugi</t>
  </si>
  <si>
    <t>Penyesuaian Jurnal Penutup</t>
  </si>
  <si>
    <t>JP</t>
  </si>
  <si>
    <t>Awal Periode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</si>
</sst>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[$Rp-3809]* #,##0_-;\-[$Rp-3809]* #,##0_-;_-[$Rp-3809]* &quot;-&quot;??_-;_-@_-"/>
    <numFmt numFmtId="165" formatCode="_-[$Rp-3809]* #,##0.00_-;\-[$Rp-3809]* #,##0.00_-;_-[$Rp-3809]* &quot;-&quot;??_-;_-@_-"/>
    <numFmt numFmtId="166" formatCode="[$-13809]dd/mm/yy;@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left"/>
    </xf>
    <xf numFmtId="164" fontId="0" fillId="0" borderId="1" xfId="0" applyNumberFormat="1" applyBorder="1"/>
    <xf numFmtId="16" fontId="0" fillId="0" borderId="1" xfId="0" applyNumberFormat="1" applyBorder="1"/>
    <xf numFmtId="164" fontId="1" fillId="0" borderId="1" xfId="0" applyNumberFormat="1" applyFont="1" applyBorder="1"/>
    <xf numFmtId="164" fontId="0" fillId="0" borderId="2" xfId="0" applyNumberFormat="1" applyBorder="1"/>
    <xf numFmtId="0" fontId="0" fillId="0" borderId="3" xfId="0" applyBorder="1"/>
    <xf numFmtId="164" fontId="1" fillId="2" borderId="1" xfId="0" applyNumberFormat="1" applyFont="1" applyFill="1" applyBorder="1"/>
    <xf numFmtId="0" fontId="1" fillId="2" borderId="1" xfId="0" applyFont="1" applyFill="1" applyBorder="1"/>
    <xf numFmtId="0" fontId="1" fillId="0" borderId="1" xfId="0" applyFont="1" applyBorder="1"/>
    <xf numFmtId="0" fontId="0" fillId="2" borderId="1" xfId="0" applyFill="1" applyBorder="1"/>
    <xf numFmtId="0" fontId="0" fillId="0" borderId="1" xfId="0" applyBorder="1" applyAlignment="1">
      <alignment horizontal="center"/>
    </xf>
    <xf numFmtId="165" fontId="0" fillId="0" borderId="0" xfId="0" applyNumberFormat="1"/>
    <xf numFmtId="165" fontId="0" fillId="0" borderId="1" xfId="0" applyNumberFormat="1" applyBorder="1"/>
    <xf numFmtId="166" fontId="0" fillId="0" borderId="0" xfId="0" applyNumberFormat="1"/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6" fontId="0" fillId="0" borderId="1" xfId="0" applyNumberFormat="1" applyBorder="1"/>
    <xf numFmtId="166" fontId="1" fillId="0" borderId="0" xfId="0" applyNumberFormat="1" applyFont="1"/>
    <xf numFmtId="0" fontId="0" fillId="0" borderId="0" xfId="0" applyAlignment="1">
      <alignment horizontal="center" vertical="center"/>
    </xf>
    <xf numFmtId="165" fontId="1" fillId="0" borderId="0" xfId="0" applyNumberFormat="1" applyFont="1"/>
    <xf numFmtId="166" fontId="1" fillId="0" borderId="1" xfId="0" applyNumberFormat="1" applyFont="1" applyBorder="1"/>
    <xf numFmtId="165" fontId="1" fillId="0" borderId="1" xfId="0" applyNumberFormat="1" applyFont="1" applyBorder="1"/>
    <xf numFmtId="166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left" vertical="center"/>
    </xf>
    <xf numFmtId="16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A3B77-E22C-4B9B-BADE-EBB089F77304}">
  <dimension ref="A1:P80"/>
  <sheetViews>
    <sheetView topLeftCell="D1" zoomScale="71" zoomScaleNormal="71" workbookViewId="0">
      <selection activeCell="L23" sqref="L23"/>
    </sheetView>
  </sheetViews>
  <sheetFormatPr defaultRowHeight="14.5" x14ac:dyDescent="0.35"/>
  <cols>
    <col min="1" max="1" width="13.08984375" customWidth="1"/>
    <col min="2" max="2" width="30.54296875" customWidth="1"/>
    <col min="3" max="4" width="17" style="2" bestFit="1" customWidth="1"/>
    <col min="5" max="5" width="16.90625" customWidth="1"/>
    <col min="6" max="6" width="16.36328125" customWidth="1"/>
    <col min="7" max="7" width="28.26953125" customWidth="1"/>
    <col min="8" max="9" width="17" bestFit="1" customWidth="1"/>
    <col min="11" max="11" width="29.08984375" customWidth="1"/>
    <col min="12" max="12" width="15.81640625" customWidth="1"/>
    <col min="13" max="13" width="15.54296875" customWidth="1"/>
    <col min="14" max="14" width="25.26953125" customWidth="1"/>
    <col min="15" max="15" width="14.7265625" customWidth="1"/>
    <col min="16" max="16" width="15.26953125" customWidth="1"/>
  </cols>
  <sheetData>
    <row r="1" spans="1:16" x14ac:dyDescent="0.35">
      <c r="A1" s="1" t="s">
        <v>0</v>
      </c>
      <c r="F1" s="1" t="s">
        <v>20</v>
      </c>
      <c r="H1" s="2"/>
      <c r="I1" s="2"/>
      <c r="K1" s="33" t="s">
        <v>53</v>
      </c>
      <c r="L1" s="34"/>
      <c r="M1" s="34"/>
      <c r="N1" s="34"/>
      <c r="O1" s="34"/>
      <c r="P1" s="35"/>
    </row>
    <row r="2" spans="1:16" x14ac:dyDescent="0.35">
      <c r="A2" s="3" t="s">
        <v>1</v>
      </c>
      <c r="B2" s="4" t="s">
        <v>2</v>
      </c>
      <c r="C2" s="5" t="s">
        <v>3</v>
      </c>
      <c r="D2" s="5" t="s">
        <v>4</v>
      </c>
      <c r="F2" s="3" t="s">
        <v>1</v>
      </c>
      <c r="G2" s="3" t="s">
        <v>2</v>
      </c>
      <c r="H2" s="5" t="s">
        <v>3</v>
      </c>
      <c r="I2" s="5" t="s">
        <v>21</v>
      </c>
      <c r="K2" s="36" t="s">
        <v>54</v>
      </c>
      <c r="L2" s="37"/>
      <c r="M2" s="37"/>
      <c r="N2" s="37"/>
      <c r="O2" s="37"/>
      <c r="P2" s="38"/>
    </row>
    <row r="3" spans="1:16" x14ac:dyDescent="0.35">
      <c r="A3" s="6">
        <v>46023</v>
      </c>
      <c r="B3" s="3" t="s">
        <v>5</v>
      </c>
      <c r="C3" s="5">
        <v>20000000</v>
      </c>
      <c r="D3" s="5"/>
      <c r="F3" s="6">
        <v>46387</v>
      </c>
      <c r="G3" s="3" t="s">
        <v>22</v>
      </c>
      <c r="H3" s="5">
        <v>3000000</v>
      </c>
      <c r="I3" s="5"/>
      <c r="K3" s="12" t="s">
        <v>55</v>
      </c>
      <c r="L3" s="5"/>
      <c r="M3" s="5"/>
      <c r="N3" s="12" t="s">
        <v>56</v>
      </c>
      <c r="O3" s="5"/>
      <c r="P3" s="3"/>
    </row>
    <row r="4" spans="1:16" x14ac:dyDescent="0.35">
      <c r="A4" s="3"/>
      <c r="B4" s="3" t="s">
        <v>6</v>
      </c>
      <c r="C4" s="5"/>
      <c r="D4" s="5">
        <v>20000000</v>
      </c>
      <c r="F4" s="3"/>
      <c r="G4" s="3" t="s">
        <v>9</v>
      </c>
      <c r="H4" s="5"/>
      <c r="I4" s="5">
        <v>3000000</v>
      </c>
      <c r="K4" s="12" t="s">
        <v>57</v>
      </c>
      <c r="L4" s="5"/>
      <c r="M4" s="5"/>
      <c r="N4" s="12" t="s">
        <v>12</v>
      </c>
      <c r="O4" s="5"/>
      <c r="P4" s="3"/>
    </row>
    <row r="5" spans="1:16" x14ac:dyDescent="0.35">
      <c r="A5" s="6">
        <v>46024</v>
      </c>
      <c r="B5" s="3" t="s">
        <v>7</v>
      </c>
      <c r="C5" s="5">
        <v>3000000</v>
      </c>
      <c r="D5" s="5"/>
      <c r="F5" s="6">
        <v>46387</v>
      </c>
      <c r="G5" s="3" t="s">
        <v>23</v>
      </c>
      <c r="H5" s="5">
        <v>5000000</v>
      </c>
      <c r="I5" s="5"/>
      <c r="K5" s="3" t="s">
        <v>5</v>
      </c>
      <c r="L5" s="5">
        <f>G43</f>
        <v>23500000</v>
      </c>
      <c r="M5" s="5"/>
      <c r="N5" s="12" t="s">
        <v>58</v>
      </c>
      <c r="O5" s="5"/>
      <c r="P5" s="3"/>
    </row>
    <row r="6" spans="1:16" x14ac:dyDescent="0.35">
      <c r="A6" s="3"/>
      <c r="B6" s="3" t="s">
        <v>8</v>
      </c>
      <c r="C6" s="5">
        <v>500000</v>
      </c>
      <c r="D6" s="5"/>
      <c r="F6" s="3"/>
      <c r="G6" s="3" t="s">
        <v>24</v>
      </c>
      <c r="H6" s="5"/>
      <c r="I6" s="5">
        <v>5000000</v>
      </c>
      <c r="K6" s="3" t="s">
        <v>10</v>
      </c>
      <c r="L6" s="5">
        <f>G48</f>
        <v>3000000</v>
      </c>
      <c r="M6" s="5"/>
      <c r="N6" s="3" t="s">
        <v>59</v>
      </c>
      <c r="O6" s="5">
        <f>H50</f>
        <v>1000000</v>
      </c>
      <c r="P6" s="3"/>
    </row>
    <row r="7" spans="1:16" x14ac:dyDescent="0.35">
      <c r="A7" s="3"/>
      <c r="B7" s="3" t="s">
        <v>5</v>
      </c>
      <c r="C7" s="5"/>
      <c r="D7" s="5">
        <f>C5+C6</f>
        <v>3500000</v>
      </c>
      <c r="F7" s="6">
        <v>46387</v>
      </c>
      <c r="G7" s="3" t="s">
        <v>25</v>
      </c>
      <c r="H7" s="5">
        <v>4000000</v>
      </c>
      <c r="I7" s="5"/>
      <c r="K7" s="3" t="s">
        <v>8</v>
      </c>
      <c r="L7" s="5">
        <f>G46</f>
        <v>1200000</v>
      </c>
      <c r="M7" s="5"/>
      <c r="N7" s="3" t="s">
        <v>18</v>
      </c>
      <c r="O7" s="5">
        <f>H55</f>
        <v>8000000</v>
      </c>
      <c r="P7" s="3"/>
    </row>
    <row r="8" spans="1:16" x14ac:dyDescent="0.35">
      <c r="A8" s="3"/>
      <c r="B8" s="3" t="s">
        <v>14</v>
      </c>
      <c r="C8" s="5">
        <v>3000000</v>
      </c>
      <c r="D8" s="5"/>
      <c r="F8" s="3"/>
      <c r="G8" s="3" t="s">
        <v>11</v>
      </c>
      <c r="H8" s="5"/>
      <c r="I8" s="5">
        <v>4000000</v>
      </c>
      <c r="K8" s="3" t="s">
        <v>17</v>
      </c>
      <c r="L8" s="5">
        <f>G54</f>
        <v>7000000</v>
      </c>
      <c r="M8" s="5"/>
      <c r="N8" s="3" t="s">
        <v>42</v>
      </c>
      <c r="O8" s="5">
        <f>H58</f>
        <v>3500000</v>
      </c>
      <c r="P8" s="3"/>
    </row>
    <row r="9" spans="1:16" x14ac:dyDescent="0.35">
      <c r="A9" s="3"/>
      <c r="B9" s="3" t="s">
        <v>5</v>
      </c>
      <c r="C9" s="5"/>
      <c r="D9" s="5">
        <v>3000000</v>
      </c>
      <c r="F9" s="6">
        <v>46387</v>
      </c>
      <c r="G9" s="3" t="s">
        <v>13</v>
      </c>
      <c r="H9" s="5">
        <v>3500000</v>
      </c>
      <c r="I9" s="5"/>
      <c r="K9" s="3" t="s">
        <v>14</v>
      </c>
      <c r="L9" s="5">
        <f>G47</f>
        <v>0</v>
      </c>
      <c r="M9" s="5"/>
      <c r="N9" s="12" t="s">
        <v>60</v>
      </c>
      <c r="O9" s="5"/>
      <c r="P9" s="3"/>
    </row>
    <row r="10" spans="1:16" x14ac:dyDescent="0.35">
      <c r="A10" s="6">
        <v>46025</v>
      </c>
      <c r="B10" s="3" t="s">
        <v>10</v>
      </c>
      <c r="C10" s="5">
        <v>5000000</v>
      </c>
      <c r="D10" s="5"/>
      <c r="F10" s="3"/>
      <c r="G10" s="3" t="s">
        <v>42</v>
      </c>
      <c r="H10" s="5"/>
      <c r="I10" s="5">
        <v>3500000</v>
      </c>
      <c r="K10" s="12" t="s">
        <v>61</v>
      </c>
      <c r="L10" s="5"/>
      <c r="M10" s="7">
        <f>SUM(L5:L9)</f>
        <v>34700000</v>
      </c>
      <c r="N10" s="3" t="s">
        <v>62</v>
      </c>
      <c r="O10" s="5">
        <v>0</v>
      </c>
      <c r="P10" s="3"/>
    </row>
    <row r="11" spans="1:16" x14ac:dyDescent="0.35">
      <c r="A11" s="3"/>
      <c r="B11" s="3" t="s">
        <v>11</v>
      </c>
      <c r="C11" s="5"/>
      <c r="D11" s="5">
        <v>5000000</v>
      </c>
      <c r="F11" s="6">
        <v>46387</v>
      </c>
      <c r="G11" s="3" t="s">
        <v>26</v>
      </c>
      <c r="H11" s="5">
        <f>'Perincian Laporan'!C9</f>
        <v>600000</v>
      </c>
      <c r="I11" s="5"/>
      <c r="K11" s="12" t="s">
        <v>63</v>
      </c>
      <c r="L11" s="5"/>
      <c r="M11" s="5"/>
      <c r="N11" s="12" t="s">
        <v>64</v>
      </c>
      <c r="O11" s="5"/>
      <c r="P11" s="7">
        <f>SUM(O5:O10)</f>
        <v>12500000</v>
      </c>
    </row>
    <row r="12" spans="1:16" x14ac:dyDescent="0.35">
      <c r="A12" s="6">
        <v>46028</v>
      </c>
      <c r="B12" s="3" t="s">
        <v>10</v>
      </c>
      <c r="C12" s="5">
        <v>3000000</v>
      </c>
      <c r="D12" s="5"/>
      <c r="F12" s="3"/>
      <c r="G12" s="3" t="s">
        <v>27</v>
      </c>
      <c r="H12" s="5"/>
      <c r="I12" s="5">
        <f>'Perincian Laporan'!C9</f>
        <v>600000</v>
      </c>
      <c r="K12" s="3" t="s">
        <v>65</v>
      </c>
      <c r="L12" s="5"/>
      <c r="M12" s="5"/>
      <c r="N12" s="3"/>
      <c r="O12" s="5"/>
      <c r="P12" s="3"/>
    </row>
    <row r="13" spans="1:16" x14ac:dyDescent="0.35">
      <c r="A13" s="3"/>
      <c r="B13" s="3" t="s">
        <v>11</v>
      </c>
      <c r="C13" s="5"/>
      <c r="D13" s="5">
        <v>3000000</v>
      </c>
      <c r="F13" s="6">
        <v>46387</v>
      </c>
      <c r="G13" s="3" t="s">
        <v>28</v>
      </c>
      <c r="H13" s="5">
        <f>'Perincian Laporan'!C17-'Perincian Laporan'!C18</f>
        <v>1300000</v>
      </c>
      <c r="I13" s="5"/>
      <c r="K13" s="3" t="s">
        <v>66</v>
      </c>
      <c r="L13" s="5"/>
      <c r="M13" s="5"/>
      <c r="N13" s="12" t="s">
        <v>6</v>
      </c>
      <c r="O13" s="5"/>
      <c r="P13" s="7">
        <f>C80</f>
        <v>24600000</v>
      </c>
    </row>
    <row r="14" spans="1:16" x14ac:dyDescent="0.35">
      <c r="A14" s="6">
        <v>46029</v>
      </c>
      <c r="B14" s="3" t="s">
        <v>8</v>
      </c>
      <c r="C14" s="5">
        <v>1000000</v>
      </c>
      <c r="D14" s="5"/>
      <c r="F14" s="3"/>
      <c r="G14" s="3" t="s">
        <v>8</v>
      </c>
      <c r="H14" s="5"/>
      <c r="I14" s="5">
        <f>'Perincian Laporan'!C17-'Perincian Laporan'!C18</f>
        <v>1300000</v>
      </c>
      <c r="K14" s="3" t="s">
        <v>67</v>
      </c>
      <c r="L14" s="5"/>
      <c r="M14" s="5"/>
      <c r="N14" s="3"/>
      <c r="O14" s="5"/>
      <c r="P14" s="3"/>
    </row>
    <row r="15" spans="1:16" x14ac:dyDescent="0.35">
      <c r="A15" s="3"/>
      <c r="B15" s="3" t="s">
        <v>12</v>
      </c>
      <c r="C15" s="5"/>
      <c r="D15" s="5">
        <v>1000000</v>
      </c>
      <c r="K15" s="3" t="s">
        <v>7</v>
      </c>
      <c r="L15" s="5">
        <f>G45</f>
        <v>3000000</v>
      </c>
      <c r="M15" s="5"/>
      <c r="N15" s="3"/>
      <c r="O15" s="5"/>
      <c r="P15" s="3"/>
    </row>
    <row r="16" spans="1:16" x14ac:dyDescent="0.35">
      <c r="A16" s="6">
        <v>46031</v>
      </c>
      <c r="B16" s="3" t="s">
        <v>10</v>
      </c>
      <c r="C16" s="5">
        <v>9000000</v>
      </c>
      <c r="D16" s="5"/>
      <c r="K16" s="3" t="s">
        <v>68</v>
      </c>
      <c r="L16" s="5"/>
      <c r="M16" s="5">
        <f>-H60</f>
        <v>-600000</v>
      </c>
      <c r="N16" s="3"/>
      <c r="O16" s="5"/>
      <c r="P16" s="3"/>
    </row>
    <row r="17" spans="1:16" x14ac:dyDescent="0.35">
      <c r="A17" s="3"/>
      <c r="B17" s="3" t="s">
        <v>11</v>
      </c>
      <c r="C17" s="5"/>
      <c r="D17" s="5">
        <v>9000000</v>
      </c>
      <c r="K17" s="12" t="s">
        <v>69</v>
      </c>
      <c r="L17" s="5"/>
      <c r="M17" s="7">
        <f>SUM(SUM(L12:L16),SUM(M12:M16))</f>
        <v>2400000</v>
      </c>
      <c r="N17" s="3"/>
      <c r="O17" s="5"/>
      <c r="P17" s="3"/>
    </row>
    <row r="18" spans="1:16" x14ac:dyDescent="0.35">
      <c r="A18" s="3"/>
      <c r="B18" s="3" t="s">
        <v>5</v>
      </c>
      <c r="C18" s="5">
        <v>3000000</v>
      </c>
      <c r="D18" s="5"/>
      <c r="K18" s="12" t="s">
        <v>70</v>
      </c>
      <c r="L18" s="5"/>
      <c r="M18" s="7">
        <f>M10+M17</f>
        <v>37100000</v>
      </c>
      <c r="N18" s="12" t="s">
        <v>71</v>
      </c>
      <c r="O18" s="7"/>
      <c r="P18" s="7">
        <f>P11+P13</f>
        <v>37100000</v>
      </c>
    </row>
    <row r="19" spans="1:16" x14ac:dyDescent="0.35">
      <c r="A19" s="3"/>
      <c r="B19" s="3" t="s">
        <v>10</v>
      </c>
      <c r="C19" s="5"/>
      <c r="D19" s="5">
        <v>3000000</v>
      </c>
    </row>
    <row r="20" spans="1:16" x14ac:dyDescent="0.35">
      <c r="A20" s="6">
        <v>46043</v>
      </c>
      <c r="B20" s="3" t="s">
        <v>5</v>
      </c>
      <c r="C20" s="5">
        <v>4000000</v>
      </c>
      <c r="D20" s="5"/>
    </row>
    <row r="21" spans="1:16" x14ac:dyDescent="0.35">
      <c r="A21" s="3"/>
      <c r="B21" s="3" t="s">
        <v>11</v>
      </c>
      <c r="C21" s="5"/>
      <c r="D21" s="5">
        <v>4000000</v>
      </c>
    </row>
    <row r="22" spans="1:16" x14ac:dyDescent="0.35">
      <c r="A22" s="6">
        <v>46044</v>
      </c>
      <c r="B22" s="3" t="s">
        <v>5</v>
      </c>
      <c r="C22" s="5">
        <v>5000000</v>
      </c>
      <c r="D22" s="5"/>
    </row>
    <row r="23" spans="1:16" x14ac:dyDescent="0.35">
      <c r="A23" s="3"/>
      <c r="B23" s="3" t="s">
        <v>10</v>
      </c>
      <c r="C23" s="5"/>
      <c r="D23" s="5">
        <v>5000000</v>
      </c>
    </row>
    <row r="24" spans="1:16" x14ac:dyDescent="0.35">
      <c r="A24" s="6">
        <v>46045</v>
      </c>
      <c r="B24" s="3" t="s">
        <v>8</v>
      </c>
      <c r="C24" s="5">
        <v>1000000</v>
      </c>
      <c r="D24" s="5"/>
    </row>
    <row r="25" spans="1:16" x14ac:dyDescent="0.35">
      <c r="A25" s="3"/>
      <c r="B25" s="3" t="s">
        <v>5</v>
      </c>
      <c r="C25" s="5"/>
      <c r="D25" s="5">
        <v>1000000</v>
      </c>
    </row>
    <row r="26" spans="1:16" x14ac:dyDescent="0.35">
      <c r="A26" s="6">
        <v>46046</v>
      </c>
      <c r="B26" s="3" t="s">
        <v>5</v>
      </c>
      <c r="C26" s="5">
        <v>6000000</v>
      </c>
      <c r="D26" s="5"/>
    </row>
    <row r="27" spans="1:16" x14ac:dyDescent="0.35">
      <c r="A27" s="3"/>
      <c r="B27" s="3" t="s">
        <v>10</v>
      </c>
      <c r="C27" s="5"/>
      <c r="D27" s="5">
        <v>6000000</v>
      </c>
    </row>
    <row r="28" spans="1:16" x14ac:dyDescent="0.35">
      <c r="A28" s="6">
        <v>46047</v>
      </c>
      <c r="B28" s="3" t="s">
        <v>13</v>
      </c>
      <c r="C28" s="5">
        <v>3000000</v>
      </c>
      <c r="D28" s="5"/>
    </row>
    <row r="29" spans="1:16" x14ac:dyDescent="0.35">
      <c r="A29" s="3"/>
      <c r="B29" s="3" t="s">
        <v>5</v>
      </c>
      <c r="C29" s="5"/>
      <c r="D29" s="5">
        <v>3000000</v>
      </c>
    </row>
    <row r="30" spans="1:16" x14ac:dyDescent="0.35">
      <c r="A30" s="6">
        <v>46048</v>
      </c>
      <c r="B30" s="3" t="s">
        <v>15</v>
      </c>
      <c r="C30" s="5">
        <v>1500000</v>
      </c>
      <c r="D30" s="5"/>
    </row>
    <row r="31" spans="1:16" x14ac:dyDescent="0.35">
      <c r="A31" s="3"/>
      <c r="B31" s="3" t="s">
        <v>5</v>
      </c>
      <c r="C31" s="5"/>
      <c r="D31" s="5">
        <v>1500000</v>
      </c>
    </row>
    <row r="32" spans="1:16" x14ac:dyDescent="0.35">
      <c r="A32" s="6">
        <v>46050</v>
      </c>
      <c r="B32" s="3" t="s">
        <v>16</v>
      </c>
      <c r="C32" s="5">
        <v>2500000</v>
      </c>
      <c r="D32" s="5"/>
    </row>
    <row r="33" spans="1:8" x14ac:dyDescent="0.35">
      <c r="A33" s="3"/>
      <c r="B33" s="3" t="s">
        <v>5</v>
      </c>
      <c r="C33" s="5"/>
      <c r="D33" s="5">
        <v>2500000</v>
      </c>
    </row>
    <row r="34" spans="1:8" x14ac:dyDescent="0.35">
      <c r="A34" s="6">
        <v>46235</v>
      </c>
      <c r="B34" s="3" t="s">
        <v>17</v>
      </c>
      <c r="C34" s="5">
        <v>12000000</v>
      </c>
      <c r="D34" s="5"/>
    </row>
    <row r="35" spans="1:8" x14ac:dyDescent="0.35">
      <c r="A35" s="3"/>
      <c r="B35" s="3" t="s">
        <v>5</v>
      </c>
      <c r="C35" s="5"/>
      <c r="D35" s="5">
        <v>12000000</v>
      </c>
    </row>
    <row r="36" spans="1:8" x14ac:dyDescent="0.35">
      <c r="A36" s="6">
        <v>46266</v>
      </c>
      <c r="B36" s="3" t="s">
        <v>5</v>
      </c>
      <c r="C36" s="5">
        <v>12000000</v>
      </c>
      <c r="D36" s="5"/>
    </row>
    <row r="37" spans="1:8" x14ac:dyDescent="0.35">
      <c r="A37" s="3"/>
      <c r="B37" s="3" t="s">
        <v>18</v>
      </c>
      <c r="C37" s="5"/>
      <c r="D37" s="5">
        <v>12000000</v>
      </c>
    </row>
    <row r="38" spans="1:8" x14ac:dyDescent="0.35">
      <c r="A38" s="39" t="s">
        <v>19</v>
      </c>
      <c r="B38" s="39"/>
      <c r="C38" s="10">
        <f>SUM(C2:C37)</f>
        <v>94500000</v>
      </c>
      <c r="D38" s="10">
        <f>SUM(D2:D37)</f>
        <v>94500000</v>
      </c>
    </row>
    <row r="40" spans="1:8" x14ac:dyDescent="0.35">
      <c r="B40" s="42" t="s">
        <v>48</v>
      </c>
      <c r="C40" s="42"/>
      <c r="D40" s="42"/>
      <c r="E40" s="42"/>
      <c r="F40" s="42"/>
      <c r="G40" s="42"/>
      <c r="H40" s="42"/>
    </row>
    <row r="41" spans="1:8" x14ac:dyDescent="0.35">
      <c r="B41" s="43" t="s">
        <v>2</v>
      </c>
      <c r="C41" s="40" t="s">
        <v>39</v>
      </c>
      <c r="D41" s="40"/>
      <c r="E41" s="32" t="s">
        <v>40</v>
      </c>
      <c r="F41" s="32"/>
      <c r="G41" s="41" t="s">
        <v>41</v>
      </c>
      <c r="H41" s="41"/>
    </row>
    <row r="42" spans="1:8" x14ac:dyDescent="0.35">
      <c r="B42" s="44"/>
      <c r="C42" s="5" t="s">
        <v>3</v>
      </c>
      <c r="D42" s="5" t="s">
        <v>21</v>
      </c>
      <c r="E42" s="3" t="s">
        <v>3</v>
      </c>
      <c r="F42" s="3" t="s">
        <v>21</v>
      </c>
      <c r="G42" s="5" t="s">
        <v>3</v>
      </c>
      <c r="H42" s="5" t="s">
        <v>21</v>
      </c>
    </row>
    <row r="43" spans="1:8" x14ac:dyDescent="0.35">
      <c r="B43" s="3" t="str" cm="1">
        <f t="array" ref="B43:B61">_xlfn.UNIQUE(_xlfn.VSTACK(B3:B37,G3:G14))</f>
        <v>Kas</v>
      </c>
      <c r="C43" s="5">
        <f t="shared" ref="C43:C61" si="0">SUMIF($B$3:$B$37,B43,$C$3:$C$37)</f>
        <v>50000000</v>
      </c>
      <c r="D43" s="5">
        <f t="shared" ref="D43:D61" si="1">SUMIF($B$3:$B$37,B43,$D$3:$D$37)</f>
        <v>26500000</v>
      </c>
      <c r="E43" s="5">
        <f>SUMIF($G$3:$G$14,$B43,$H$3:$H$14)</f>
        <v>0</v>
      </c>
      <c r="F43" s="5">
        <f>SUMIF($G$3:$G$14,B43,$I$3:$I$14)</f>
        <v>0</v>
      </c>
      <c r="G43" s="5">
        <f>(C43+E43)-(D43+F43)</f>
        <v>23500000</v>
      </c>
      <c r="H43" s="5">
        <v>0</v>
      </c>
    </row>
    <row r="44" spans="1:8" x14ac:dyDescent="0.35">
      <c r="B44" s="3" t="str">
        <v>Modal</v>
      </c>
      <c r="C44" s="5">
        <f t="shared" si="0"/>
        <v>0</v>
      </c>
      <c r="D44" s="5">
        <f t="shared" si="1"/>
        <v>20000000</v>
      </c>
      <c r="E44" s="5">
        <f t="shared" ref="E44:E61" si="2">SUMIF($G$3:$G$14,$B44,$H$3:$H$14)</f>
        <v>0</v>
      </c>
      <c r="F44" s="5">
        <f t="shared" ref="F44:F61" si="3">SUMIF($G$3:$G$14,B44,$I$3:$I$14)</f>
        <v>0</v>
      </c>
      <c r="G44" s="5">
        <v>0</v>
      </c>
      <c r="H44" s="5">
        <f t="shared" ref="H44:H60" si="4">(D44+F44)-C44+E44</f>
        <v>20000000</v>
      </c>
    </row>
    <row r="45" spans="1:8" x14ac:dyDescent="0.35">
      <c r="B45" s="3" t="str">
        <v>Peralatan</v>
      </c>
      <c r="C45" s="5">
        <f t="shared" si="0"/>
        <v>3000000</v>
      </c>
      <c r="D45" s="5">
        <f t="shared" si="1"/>
        <v>0</v>
      </c>
      <c r="E45" s="5">
        <f t="shared" si="2"/>
        <v>0</v>
      </c>
      <c r="F45" s="5">
        <f t="shared" si="3"/>
        <v>0</v>
      </c>
      <c r="G45" s="5">
        <f t="shared" ref="G45:G61" si="5">(C45+E45)-(D45+F45)</f>
        <v>3000000</v>
      </c>
      <c r="H45" s="5">
        <v>0</v>
      </c>
    </row>
    <row r="46" spans="1:8" x14ac:dyDescent="0.35">
      <c r="B46" s="3" t="str">
        <v>Perlengkapan</v>
      </c>
      <c r="C46" s="5">
        <f t="shared" si="0"/>
        <v>2500000</v>
      </c>
      <c r="D46" s="5">
        <f t="shared" si="1"/>
        <v>0</v>
      </c>
      <c r="E46" s="5">
        <f t="shared" si="2"/>
        <v>0</v>
      </c>
      <c r="F46" s="5">
        <f t="shared" si="3"/>
        <v>1300000</v>
      </c>
      <c r="G46" s="5">
        <f t="shared" si="5"/>
        <v>1200000</v>
      </c>
      <c r="H46" s="5">
        <v>0</v>
      </c>
    </row>
    <row r="47" spans="1:8" x14ac:dyDescent="0.35">
      <c r="B47" s="3" t="str">
        <v>Sewa Dibayar Dimuka</v>
      </c>
      <c r="C47" s="5">
        <f t="shared" si="0"/>
        <v>3000000</v>
      </c>
      <c r="D47" s="5">
        <f t="shared" si="1"/>
        <v>0</v>
      </c>
      <c r="E47" s="5">
        <f t="shared" si="2"/>
        <v>0</v>
      </c>
      <c r="F47" s="5">
        <f>SUMIF($G$3:$G$14,B47,$I$3:$I$14)</f>
        <v>3000000</v>
      </c>
      <c r="G47" s="5">
        <f>(C47+E47)-(D47+F47)</f>
        <v>0</v>
      </c>
      <c r="H47" s="5">
        <f t="shared" si="4"/>
        <v>0</v>
      </c>
    </row>
    <row r="48" spans="1:8" x14ac:dyDescent="0.35">
      <c r="B48" s="3" t="str">
        <v>Piutang</v>
      </c>
      <c r="C48" s="5">
        <f t="shared" si="0"/>
        <v>17000000</v>
      </c>
      <c r="D48" s="5">
        <f t="shared" si="1"/>
        <v>14000000</v>
      </c>
      <c r="E48" s="5">
        <f t="shared" si="2"/>
        <v>0</v>
      </c>
      <c r="F48" s="5">
        <f t="shared" si="3"/>
        <v>0</v>
      </c>
      <c r="G48" s="5">
        <f t="shared" si="5"/>
        <v>3000000</v>
      </c>
      <c r="H48" s="5">
        <v>0</v>
      </c>
    </row>
    <row r="49" spans="2:8" x14ac:dyDescent="0.35">
      <c r="B49" s="3" t="str">
        <v>Pendapatan</v>
      </c>
      <c r="C49" s="5">
        <f t="shared" si="0"/>
        <v>0</v>
      </c>
      <c r="D49" s="5">
        <f t="shared" si="1"/>
        <v>21000000</v>
      </c>
      <c r="E49" s="5">
        <f t="shared" si="2"/>
        <v>0</v>
      </c>
      <c r="F49" s="5">
        <f t="shared" si="3"/>
        <v>4000000</v>
      </c>
      <c r="G49" s="5">
        <v>0</v>
      </c>
      <c r="H49" s="5">
        <f t="shared" si="4"/>
        <v>25000000</v>
      </c>
    </row>
    <row r="50" spans="2:8" x14ac:dyDescent="0.35">
      <c r="B50" s="3" t="str">
        <v>Hutang</v>
      </c>
      <c r="C50" s="5">
        <f t="shared" si="0"/>
        <v>0</v>
      </c>
      <c r="D50" s="5">
        <f t="shared" si="1"/>
        <v>1000000</v>
      </c>
      <c r="E50" s="5">
        <f t="shared" si="2"/>
        <v>0</v>
      </c>
      <c r="F50" s="5">
        <f t="shared" si="3"/>
        <v>0</v>
      </c>
      <c r="G50" s="5">
        <v>0</v>
      </c>
      <c r="H50" s="5">
        <f t="shared" si="4"/>
        <v>1000000</v>
      </c>
    </row>
    <row r="51" spans="2:8" x14ac:dyDescent="0.35">
      <c r="B51" s="3" t="str">
        <v>Beban Gaji</v>
      </c>
      <c r="C51" s="5">
        <f t="shared" si="0"/>
        <v>3000000</v>
      </c>
      <c r="D51" s="5">
        <f t="shared" si="1"/>
        <v>0</v>
      </c>
      <c r="E51" s="5">
        <f t="shared" si="2"/>
        <v>3500000</v>
      </c>
      <c r="F51" s="5">
        <f t="shared" si="3"/>
        <v>0</v>
      </c>
      <c r="G51" s="5">
        <f t="shared" si="5"/>
        <v>6500000</v>
      </c>
      <c r="H51" s="5">
        <v>0</v>
      </c>
    </row>
    <row r="52" spans="2:8" x14ac:dyDescent="0.35">
      <c r="B52" s="3" t="str">
        <v>Prive</v>
      </c>
      <c r="C52" s="5">
        <f t="shared" si="0"/>
        <v>1500000</v>
      </c>
      <c r="D52" s="5">
        <f t="shared" si="1"/>
        <v>0</v>
      </c>
      <c r="E52" s="5">
        <f t="shared" si="2"/>
        <v>0</v>
      </c>
      <c r="F52" s="5">
        <f t="shared" si="3"/>
        <v>0</v>
      </c>
      <c r="G52" s="5">
        <f t="shared" si="5"/>
        <v>1500000</v>
      </c>
      <c r="H52" s="5">
        <v>0</v>
      </c>
    </row>
    <row r="53" spans="2:8" x14ac:dyDescent="0.35">
      <c r="B53" s="3" t="str">
        <v>Beban Utilitas</v>
      </c>
      <c r="C53" s="5">
        <f t="shared" si="0"/>
        <v>2500000</v>
      </c>
      <c r="D53" s="5">
        <f t="shared" si="1"/>
        <v>0</v>
      </c>
      <c r="E53" s="5">
        <f t="shared" si="2"/>
        <v>0</v>
      </c>
      <c r="F53" s="5">
        <f t="shared" si="3"/>
        <v>0</v>
      </c>
      <c r="G53" s="5">
        <f t="shared" si="5"/>
        <v>2500000</v>
      </c>
      <c r="H53" s="5">
        <v>0</v>
      </c>
    </row>
    <row r="54" spans="2:8" x14ac:dyDescent="0.35">
      <c r="B54" s="3" t="str">
        <v>Asuransi Dibayar Dimuka</v>
      </c>
      <c r="C54" s="5">
        <f t="shared" si="0"/>
        <v>12000000</v>
      </c>
      <c r="D54" s="5">
        <f t="shared" si="1"/>
        <v>0</v>
      </c>
      <c r="E54" s="5">
        <f t="shared" si="2"/>
        <v>0</v>
      </c>
      <c r="F54" s="5">
        <f t="shared" si="3"/>
        <v>5000000</v>
      </c>
      <c r="G54" s="5">
        <f t="shared" si="5"/>
        <v>7000000</v>
      </c>
      <c r="H54" s="5">
        <v>0</v>
      </c>
    </row>
    <row r="55" spans="2:8" x14ac:dyDescent="0.35">
      <c r="B55" s="3" t="str">
        <v>Pendapatan Diterima Dimuka</v>
      </c>
      <c r="C55" s="5">
        <f t="shared" si="0"/>
        <v>0</v>
      </c>
      <c r="D55" s="5">
        <f t="shared" si="1"/>
        <v>12000000</v>
      </c>
      <c r="E55" s="5">
        <f t="shared" si="2"/>
        <v>4000000</v>
      </c>
      <c r="F55" s="5">
        <f t="shared" si="3"/>
        <v>0</v>
      </c>
      <c r="G55" s="5">
        <v>0</v>
      </c>
      <c r="H55" s="5">
        <f>(D55+F55)-(C55+E55)</f>
        <v>8000000</v>
      </c>
    </row>
    <row r="56" spans="2:8" x14ac:dyDescent="0.35">
      <c r="B56" s="3" t="str">
        <v>Beban Sewa</v>
      </c>
      <c r="C56" s="5">
        <f t="shared" si="0"/>
        <v>0</v>
      </c>
      <c r="D56" s="5">
        <f t="shared" si="1"/>
        <v>0</v>
      </c>
      <c r="E56" s="5">
        <f t="shared" si="2"/>
        <v>3000000</v>
      </c>
      <c r="F56" s="5">
        <f t="shared" si="3"/>
        <v>0</v>
      </c>
      <c r="G56" s="5">
        <f t="shared" si="5"/>
        <v>3000000</v>
      </c>
      <c r="H56" s="5">
        <v>0</v>
      </c>
    </row>
    <row r="57" spans="2:8" x14ac:dyDescent="0.35">
      <c r="B57" s="3" t="str">
        <v>Beban Asuransi</v>
      </c>
      <c r="C57" s="5">
        <f t="shared" si="0"/>
        <v>0</v>
      </c>
      <c r="D57" s="5">
        <f t="shared" si="1"/>
        <v>0</v>
      </c>
      <c r="E57" s="5">
        <f t="shared" si="2"/>
        <v>5000000</v>
      </c>
      <c r="F57" s="5">
        <f t="shared" si="3"/>
        <v>0</v>
      </c>
      <c r="G57" s="5">
        <f t="shared" si="5"/>
        <v>5000000</v>
      </c>
      <c r="H57" s="5">
        <v>0</v>
      </c>
    </row>
    <row r="58" spans="2:8" x14ac:dyDescent="0.35">
      <c r="B58" s="3" t="str">
        <v>Hutang Gaji</v>
      </c>
      <c r="C58" s="5">
        <f t="shared" si="0"/>
        <v>0</v>
      </c>
      <c r="D58" s="5">
        <f t="shared" si="1"/>
        <v>0</v>
      </c>
      <c r="E58" s="5">
        <f t="shared" si="2"/>
        <v>0</v>
      </c>
      <c r="F58" s="5">
        <f t="shared" si="3"/>
        <v>3500000</v>
      </c>
      <c r="G58" s="5">
        <v>0</v>
      </c>
      <c r="H58" s="5">
        <f t="shared" si="4"/>
        <v>3500000</v>
      </c>
    </row>
    <row r="59" spans="2:8" x14ac:dyDescent="0.35">
      <c r="B59" s="3" t="str">
        <v>Beban penyusutan peralatan</v>
      </c>
      <c r="C59" s="5">
        <f t="shared" si="0"/>
        <v>0</v>
      </c>
      <c r="D59" s="5">
        <f t="shared" si="1"/>
        <v>0</v>
      </c>
      <c r="E59" s="5">
        <f t="shared" si="2"/>
        <v>600000</v>
      </c>
      <c r="F59" s="5">
        <f t="shared" si="3"/>
        <v>0</v>
      </c>
      <c r="G59" s="5">
        <f t="shared" si="5"/>
        <v>600000</v>
      </c>
      <c r="H59" s="5">
        <v>0</v>
      </c>
    </row>
    <row r="60" spans="2:8" x14ac:dyDescent="0.35">
      <c r="B60" s="3" t="str">
        <v>Akumulasi penyusutan peralatan</v>
      </c>
      <c r="C60" s="5">
        <f t="shared" si="0"/>
        <v>0</v>
      </c>
      <c r="D60" s="5">
        <f t="shared" si="1"/>
        <v>0</v>
      </c>
      <c r="E60" s="5">
        <f t="shared" si="2"/>
        <v>0</v>
      </c>
      <c r="F60" s="5">
        <f t="shared" si="3"/>
        <v>600000</v>
      </c>
      <c r="G60" s="5">
        <v>0</v>
      </c>
      <c r="H60" s="5">
        <f t="shared" si="4"/>
        <v>600000</v>
      </c>
    </row>
    <row r="61" spans="2:8" x14ac:dyDescent="0.35">
      <c r="B61" s="3" t="str">
        <v>Beban Perlengkapan</v>
      </c>
      <c r="C61" s="5">
        <f t="shared" si="0"/>
        <v>0</v>
      </c>
      <c r="D61" s="5">
        <f t="shared" si="1"/>
        <v>0</v>
      </c>
      <c r="E61" s="5">
        <f t="shared" si="2"/>
        <v>1300000</v>
      </c>
      <c r="F61" s="5">
        <f t="shared" si="3"/>
        <v>0</v>
      </c>
      <c r="G61" s="5">
        <f t="shared" si="5"/>
        <v>1300000</v>
      </c>
      <c r="H61" s="5">
        <v>0</v>
      </c>
    </row>
    <row r="62" spans="2:8" x14ac:dyDescent="0.35">
      <c r="B62" s="13" t="s">
        <v>19</v>
      </c>
      <c r="C62" s="10">
        <f>SUM(C43:C55)</f>
        <v>94500000</v>
      </c>
      <c r="D62" s="10">
        <f>SUM(D43:D55)</f>
        <v>94500000</v>
      </c>
      <c r="E62" s="11"/>
      <c r="F62" s="11"/>
      <c r="G62" s="10">
        <f>SUM(G43:G61)</f>
        <v>58100000</v>
      </c>
      <c r="H62" s="10">
        <f>SUM(H43:H61)</f>
        <v>58100000</v>
      </c>
    </row>
    <row r="64" spans="2:8" x14ac:dyDescent="0.35">
      <c r="B64" s="33" t="s">
        <v>49</v>
      </c>
      <c r="C64" s="35"/>
    </row>
    <row r="65" spans="2:3" x14ac:dyDescent="0.35">
      <c r="B65" s="12" t="s">
        <v>43</v>
      </c>
      <c r="C65" s="5">
        <f>H49</f>
        <v>25000000</v>
      </c>
    </row>
    <row r="66" spans="2:3" x14ac:dyDescent="0.35">
      <c r="B66" s="3" t="s">
        <v>44</v>
      </c>
      <c r="C66" s="5"/>
    </row>
    <row r="67" spans="2:3" x14ac:dyDescent="0.35">
      <c r="B67" s="3" t="s">
        <v>16</v>
      </c>
      <c r="C67" s="5">
        <f>G53</f>
        <v>2500000</v>
      </c>
    </row>
    <row r="68" spans="2:3" x14ac:dyDescent="0.35">
      <c r="B68" s="3" t="s">
        <v>13</v>
      </c>
      <c r="C68" s="5">
        <f>G51</f>
        <v>6500000</v>
      </c>
    </row>
    <row r="69" spans="2:3" x14ac:dyDescent="0.35">
      <c r="B69" s="3" t="s">
        <v>22</v>
      </c>
      <c r="C69" s="5">
        <f>G56</f>
        <v>3000000</v>
      </c>
    </row>
    <row r="70" spans="2:3" x14ac:dyDescent="0.35">
      <c r="B70" s="3" t="s">
        <v>23</v>
      </c>
      <c r="C70" s="5">
        <f>G57</f>
        <v>5000000</v>
      </c>
    </row>
    <row r="71" spans="2:3" x14ac:dyDescent="0.35">
      <c r="B71" s="3" t="s">
        <v>45</v>
      </c>
      <c r="C71" s="5">
        <f>G59</f>
        <v>600000</v>
      </c>
    </row>
    <row r="72" spans="2:3" x14ac:dyDescent="0.35">
      <c r="B72" s="3" t="s">
        <v>28</v>
      </c>
      <c r="C72" s="5">
        <f>G61</f>
        <v>1300000</v>
      </c>
    </row>
    <row r="73" spans="2:3" x14ac:dyDescent="0.35">
      <c r="B73" s="12" t="s">
        <v>46</v>
      </c>
      <c r="C73" s="5">
        <f>SUM(C67:C72)</f>
        <v>18900000</v>
      </c>
    </row>
    <row r="74" spans="2:3" x14ac:dyDescent="0.35">
      <c r="B74" s="12" t="s">
        <v>47</v>
      </c>
      <c r="C74" s="7">
        <f>C65-C73</f>
        <v>6100000</v>
      </c>
    </row>
    <row r="76" spans="2:3" x14ac:dyDescent="0.35">
      <c r="B76" s="32" t="s">
        <v>50</v>
      </c>
      <c r="C76" s="32"/>
    </row>
    <row r="77" spans="2:3" x14ac:dyDescent="0.35">
      <c r="B77" s="3" t="s">
        <v>51</v>
      </c>
      <c r="C77" s="5">
        <f>H44</f>
        <v>20000000</v>
      </c>
    </row>
    <row r="78" spans="2:3" x14ac:dyDescent="0.35">
      <c r="B78" s="3" t="s">
        <v>15</v>
      </c>
      <c r="C78" s="5">
        <f>G52</f>
        <v>1500000</v>
      </c>
    </row>
    <row r="79" spans="2:3" x14ac:dyDescent="0.35">
      <c r="B79" s="3" t="s">
        <v>47</v>
      </c>
      <c r="C79" s="5">
        <f>C74</f>
        <v>6100000</v>
      </c>
    </row>
    <row r="80" spans="2:3" x14ac:dyDescent="0.35">
      <c r="B80" s="12" t="s">
        <v>52</v>
      </c>
      <c r="C80" s="7">
        <f>(C77-C78)+C79</f>
        <v>24600000</v>
      </c>
    </row>
  </sheetData>
  <mergeCells count="10">
    <mergeCell ref="B76:C76"/>
    <mergeCell ref="K1:P1"/>
    <mergeCell ref="K2:P2"/>
    <mergeCell ref="A38:B38"/>
    <mergeCell ref="C41:D41"/>
    <mergeCell ref="E41:F41"/>
    <mergeCell ref="G41:H41"/>
    <mergeCell ref="B64:C64"/>
    <mergeCell ref="B40:H40"/>
    <mergeCell ref="B41:B4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78173-2885-46EF-8E0B-6DBA2115FE26}">
  <dimension ref="A1:E19"/>
  <sheetViews>
    <sheetView zoomScale="80" workbookViewId="0">
      <selection activeCell="A17" sqref="A17:B17"/>
    </sheetView>
  </sheetViews>
  <sheetFormatPr defaultRowHeight="14.5" x14ac:dyDescent="0.35"/>
  <cols>
    <col min="1" max="1" width="15.6328125" customWidth="1"/>
    <col min="2" max="2" width="12.453125" customWidth="1"/>
    <col min="3" max="3" width="14.81640625" customWidth="1"/>
    <col min="4" max="4" width="17" customWidth="1"/>
    <col min="5" max="5" width="23.81640625" customWidth="1"/>
  </cols>
  <sheetData>
    <row r="1" spans="1:5" x14ac:dyDescent="0.35">
      <c r="A1" t="s">
        <v>29</v>
      </c>
      <c r="C1" s="2"/>
    </row>
    <row r="2" spans="1:5" x14ac:dyDescent="0.35">
      <c r="C2" s="2"/>
    </row>
    <row r="3" spans="1:5" x14ac:dyDescent="0.35">
      <c r="A3" s="1" t="s">
        <v>7</v>
      </c>
      <c r="C3" s="2"/>
    </row>
    <row r="4" spans="1:5" x14ac:dyDescent="0.35">
      <c r="A4" s="3" t="s">
        <v>30</v>
      </c>
      <c r="B4" s="3" t="s">
        <v>31</v>
      </c>
      <c r="C4" s="5" t="s">
        <v>32</v>
      </c>
      <c r="D4" s="3" t="s">
        <v>33</v>
      </c>
      <c r="E4" s="3" t="s">
        <v>34</v>
      </c>
    </row>
    <row r="5" spans="1:5" x14ac:dyDescent="0.35">
      <c r="A5" s="6">
        <v>46024</v>
      </c>
      <c r="B5" s="3">
        <v>2017</v>
      </c>
      <c r="C5" s="5">
        <f>Laporan!C5</f>
        <v>3000000</v>
      </c>
      <c r="D5" s="3">
        <v>5</v>
      </c>
      <c r="E5" s="5">
        <f>C5/D5</f>
        <v>600000</v>
      </c>
    </row>
    <row r="6" spans="1:5" x14ac:dyDescent="0.35">
      <c r="C6" s="2"/>
    </row>
    <row r="7" spans="1:5" x14ac:dyDescent="0.35">
      <c r="C7" s="2"/>
    </row>
    <row r="8" spans="1:5" x14ac:dyDescent="0.35">
      <c r="A8" s="32" t="s">
        <v>38</v>
      </c>
      <c r="B8" s="32"/>
      <c r="C8" s="5">
        <f>C5</f>
        <v>3000000</v>
      </c>
    </row>
    <row r="9" spans="1:5" x14ac:dyDescent="0.35">
      <c r="A9" s="32" t="s">
        <v>35</v>
      </c>
      <c r="B9" s="32"/>
      <c r="C9" s="5">
        <f>E5</f>
        <v>600000</v>
      </c>
    </row>
    <row r="10" spans="1:5" x14ac:dyDescent="0.35">
      <c r="A10" s="42" t="s">
        <v>36</v>
      </c>
      <c r="B10" s="42"/>
      <c r="C10" s="7">
        <f>C8-C9</f>
        <v>2400000</v>
      </c>
    </row>
    <row r="11" spans="1:5" x14ac:dyDescent="0.35">
      <c r="C11" s="2"/>
    </row>
    <row r="12" spans="1:5" x14ac:dyDescent="0.35">
      <c r="A12" s="1" t="s">
        <v>8</v>
      </c>
      <c r="C12" s="2"/>
    </row>
    <row r="13" spans="1:5" x14ac:dyDescent="0.35">
      <c r="A13" s="3" t="s">
        <v>30</v>
      </c>
      <c r="B13" s="3" t="s">
        <v>31</v>
      </c>
      <c r="C13" s="8" t="s">
        <v>32</v>
      </c>
      <c r="D13" s="9"/>
    </row>
    <row r="14" spans="1:5" x14ac:dyDescent="0.35">
      <c r="A14" s="6">
        <v>46024</v>
      </c>
      <c r="B14" s="3">
        <v>2017</v>
      </c>
      <c r="C14" s="8">
        <f>Laporan!C6</f>
        <v>500000</v>
      </c>
      <c r="D14" s="9"/>
      <c r="E14" s="2"/>
    </row>
    <row r="15" spans="1:5" x14ac:dyDescent="0.35">
      <c r="A15" s="6">
        <v>46029</v>
      </c>
      <c r="B15" s="3">
        <v>2017</v>
      </c>
      <c r="C15" s="8">
        <f>Laporan!C14</f>
        <v>1000000</v>
      </c>
      <c r="D15" s="9"/>
      <c r="E15" s="2"/>
    </row>
    <row r="16" spans="1:5" x14ac:dyDescent="0.35">
      <c r="A16" s="6">
        <v>46045</v>
      </c>
      <c r="B16" s="3">
        <v>2017</v>
      </c>
      <c r="C16" s="8">
        <f>Laporan!C24</f>
        <v>1000000</v>
      </c>
      <c r="D16" s="9"/>
    </row>
    <row r="17" spans="1:3" x14ac:dyDescent="0.35">
      <c r="A17" s="42" t="s">
        <v>19</v>
      </c>
      <c r="B17" s="42"/>
      <c r="C17" s="7">
        <f>SUM(C14:C16)</f>
        <v>2500000</v>
      </c>
    </row>
    <row r="18" spans="1:3" x14ac:dyDescent="0.35">
      <c r="A18" s="42" t="s">
        <v>37</v>
      </c>
      <c r="B18" s="42"/>
      <c r="C18" s="7">
        <v>1200000</v>
      </c>
    </row>
    <row r="19" spans="1:3" x14ac:dyDescent="0.35">
      <c r="C19" s="2"/>
    </row>
  </sheetData>
  <mergeCells count="5">
    <mergeCell ref="A8:B8"/>
    <mergeCell ref="A9:B9"/>
    <mergeCell ref="A10:B10"/>
    <mergeCell ref="A17:B17"/>
    <mergeCell ref="A18:B1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0F235-2894-483D-8FE8-004924AA6F11}">
  <dimension ref="A1:L139"/>
  <sheetViews>
    <sheetView zoomScale="71" workbookViewId="0">
      <selection activeCell="E56" sqref="E56"/>
    </sheetView>
  </sheetViews>
  <sheetFormatPr defaultRowHeight="14.5" x14ac:dyDescent="0.35"/>
  <cols>
    <col min="1" max="1" width="12.90625" style="17" customWidth="1"/>
    <col min="2" max="2" width="37.81640625" customWidth="1"/>
    <col min="3" max="3" width="4.54296875" style="22" customWidth="1"/>
    <col min="4" max="7" width="17" style="15" bestFit="1" customWidth="1"/>
    <col min="9" max="9" width="12" bestFit="1" customWidth="1"/>
    <col min="10" max="10" width="28.36328125" bestFit="1" customWidth="1"/>
    <col min="11" max="12" width="16.1796875" bestFit="1" customWidth="1"/>
  </cols>
  <sheetData>
    <row r="1" spans="1:12" x14ac:dyDescent="0.35">
      <c r="A1" s="21" t="s">
        <v>5</v>
      </c>
      <c r="I1" s="21" t="s">
        <v>114</v>
      </c>
      <c r="J1" s="1"/>
      <c r="K1" s="23"/>
      <c r="L1" s="23"/>
    </row>
    <row r="2" spans="1:12" x14ac:dyDescent="0.35">
      <c r="A2" s="29" t="s">
        <v>1</v>
      </c>
      <c r="B2" s="30" t="s">
        <v>73</v>
      </c>
      <c r="C2" s="30" t="s">
        <v>74</v>
      </c>
      <c r="D2" s="31" t="s">
        <v>3</v>
      </c>
      <c r="E2" s="31" t="s">
        <v>21</v>
      </c>
      <c r="F2" s="31" t="s">
        <v>75</v>
      </c>
      <c r="G2" s="31"/>
      <c r="I2" s="24" t="s">
        <v>115</v>
      </c>
      <c r="J2" s="12" t="s">
        <v>134</v>
      </c>
      <c r="K2" s="25" t="s">
        <v>3</v>
      </c>
      <c r="L2" s="25" t="s">
        <v>21</v>
      </c>
    </row>
    <row r="3" spans="1:12" x14ac:dyDescent="0.35">
      <c r="A3" s="29"/>
      <c r="B3" s="30"/>
      <c r="C3" s="30"/>
      <c r="D3" s="31"/>
      <c r="E3" s="31"/>
      <c r="F3" s="16" t="s">
        <v>3</v>
      </c>
      <c r="G3" s="16" t="s">
        <v>21</v>
      </c>
      <c r="I3" s="26" t="s">
        <v>72</v>
      </c>
      <c r="J3" s="3" t="str">
        <f>Laporan!B43</f>
        <v>Kas</v>
      </c>
      <c r="K3" s="16">
        <f>F16</f>
        <v>23500000</v>
      </c>
      <c r="L3" s="16"/>
    </row>
    <row r="4" spans="1:12" x14ac:dyDescent="0.35">
      <c r="A4" s="20">
        <v>42736</v>
      </c>
      <c r="B4" s="3" t="s">
        <v>77</v>
      </c>
      <c r="C4" s="18" t="s">
        <v>76</v>
      </c>
      <c r="D4" s="16">
        <v>20000000</v>
      </c>
      <c r="E4" s="16"/>
      <c r="F4" s="16">
        <f>D4-E4</f>
        <v>20000000</v>
      </c>
      <c r="G4" s="16"/>
      <c r="I4" s="26" t="s">
        <v>116</v>
      </c>
      <c r="J4" s="3" t="str">
        <f>Laporan!B48</f>
        <v>Piutang</v>
      </c>
      <c r="K4" s="16">
        <f>F26</f>
        <v>3000000</v>
      </c>
      <c r="L4" s="16"/>
    </row>
    <row r="5" spans="1:12" x14ac:dyDescent="0.35">
      <c r="A5" s="20">
        <v>42737</v>
      </c>
      <c r="B5" s="3" t="s">
        <v>78</v>
      </c>
      <c r="C5" s="18" t="s">
        <v>76</v>
      </c>
      <c r="D5" s="16"/>
      <c r="E5" s="16">
        <v>3500000</v>
      </c>
      <c r="F5" s="16">
        <f>F4+D5-E5</f>
        <v>16500000</v>
      </c>
      <c r="G5" s="16"/>
      <c r="I5" s="26" t="s">
        <v>117</v>
      </c>
      <c r="J5" s="3" t="str">
        <f>Laporan!B46</f>
        <v>Perlengkapan</v>
      </c>
      <c r="K5" s="16">
        <f>F34</f>
        <v>1200000</v>
      </c>
      <c r="L5" s="16"/>
    </row>
    <row r="6" spans="1:12" x14ac:dyDescent="0.35">
      <c r="A6" s="20">
        <v>42737</v>
      </c>
      <c r="B6" s="3" t="s">
        <v>79</v>
      </c>
      <c r="C6" s="18" t="s">
        <v>76</v>
      </c>
      <c r="D6" s="16"/>
      <c r="E6" s="16">
        <v>3000000</v>
      </c>
      <c r="F6" s="16">
        <f t="shared" ref="F6:F15" si="0">F5+D6-E6</f>
        <v>13500000</v>
      </c>
      <c r="G6" s="16"/>
      <c r="I6" s="26" t="s">
        <v>118</v>
      </c>
      <c r="J6" s="3" t="str">
        <f>Laporan!B54</f>
        <v>Asuransi Dibayar Dimuka</v>
      </c>
      <c r="K6" s="16">
        <f>F40</f>
        <v>7000000</v>
      </c>
      <c r="L6" s="16"/>
    </row>
    <row r="7" spans="1:12" x14ac:dyDescent="0.35">
      <c r="A7" s="20">
        <v>42744</v>
      </c>
      <c r="B7" s="3" t="s">
        <v>80</v>
      </c>
      <c r="C7" s="18" t="s">
        <v>76</v>
      </c>
      <c r="D7" s="16">
        <v>3000000</v>
      </c>
      <c r="E7" s="16"/>
      <c r="F7" s="16">
        <f t="shared" si="0"/>
        <v>16500000</v>
      </c>
      <c r="G7" s="16"/>
      <c r="I7" s="26" t="s">
        <v>119</v>
      </c>
      <c r="J7" s="3" t="str">
        <f>Laporan!B47</f>
        <v>Sewa Dibayar Dimuka</v>
      </c>
      <c r="K7" s="16">
        <f>F46</f>
        <v>0</v>
      </c>
      <c r="L7" s="16"/>
    </row>
    <row r="8" spans="1:12" x14ac:dyDescent="0.35">
      <c r="A8" s="20">
        <v>42756</v>
      </c>
      <c r="B8" s="3" t="s">
        <v>81</v>
      </c>
      <c r="C8" s="18" t="s">
        <v>76</v>
      </c>
      <c r="D8" s="16">
        <v>4000000</v>
      </c>
      <c r="E8" s="16"/>
      <c r="F8" s="16">
        <f t="shared" si="0"/>
        <v>20500000</v>
      </c>
      <c r="G8" s="16"/>
      <c r="I8" s="26" t="s">
        <v>120</v>
      </c>
      <c r="J8" s="3" t="str">
        <f>Laporan!B45</f>
        <v>Peralatan</v>
      </c>
      <c r="K8" s="16">
        <f>F51</f>
        <v>3000000</v>
      </c>
      <c r="L8" s="16"/>
    </row>
    <row r="9" spans="1:12" x14ac:dyDescent="0.35">
      <c r="A9" s="20">
        <v>42757</v>
      </c>
      <c r="B9" s="3" t="s">
        <v>80</v>
      </c>
      <c r="C9" s="18" t="s">
        <v>76</v>
      </c>
      <c r="D9" s="16">
        <v>5000000</v>
      </c>
      <c r="E9" s="16"/>
      <c r="F9" s="16">
        <f t="shared" si="0"/>
        <v>25500000</v>
      </c>
      <c r="G9" s="16"/>
      <c r="I9" s="26" t="s">
        <v>121</v>
      </c>
      <c r="J9" s="3" t="str">
        <f>Laporan!B60</f>
        <v>Akumulasi penyusutan peralatan</v>
      </c>
      <c r="K9" s="16"/>
      <c r="L9" s="16">
        <f>G56</f>
        <v>600000</v>
      </c>
    </row>
    <row r="10" spans="1:12" x14ac:dyDescent="0.35">
      <c r="A10" s="20">
        <v>42758</v>
      </c>
      <c r="B10" s="3" t="s">
        <v>82</v>
      </c>
      <c r="C10" s="18" t="s">
        <v>76</v>
      </c>
      <c r="D10" s="16"/>
      <c r="E10" s="16">
        <v>1000000</v>
      </c>
      <c r="F10" s="16">
        <f t="shared" si="0"/>
        <v>24500000</v>
      </c>
      <c r="G10" s="16"/>
      <c r="I10" s="26" t="s">
        <v>122</v>
      </c>
      <c r="J10" s="3" t="str">
        <f>Laporan!B50</f>
        <v>Hutang</v>
      </c>
      <c r="K10" s="16"/>
      <c r="L10" s="16">
        <f>G61</f>
        <v>1000000</v>
      </c>
    </row>
    <row r="11" spans="1:12" x14ac:dyDescent="0.35">
      <c r="A11" s="20">
        <v>42759</v>
      </c>
      <c r="B11" s="3" t="s">
        <v>80</v>
      </c>
      <c r="C11" s="18" t="s">
        <v>76</v>
      </c>
      <c r="D11" s="16">
        <v>6000000</v>
      </c>
      <c r="E11" s="16"/>
      <c r="F11" s="16">
        <f t="shared" si="0"/>
        <v>30500000</v>
      </c>
      <c r="G11" s="16"/>
      <c r="I11" s="26" t="s">
        <v>123</v>
      </c>
      <c r="J11" s="3" t="str">
        <f>Laporan!B55</f>
        <v>Pendapatan Diterima Dimuka</v>
      </c>
      <c r="K11" s="16"/>
      <c r="L11" s="16">
        <f>G67</f>
        <v>8000000</v>
      </c>
    </row>
    <row r="12" spans="1:12" x14ac:dyDescent="0.35">
      <c r="A12" s="20">
        <v>42760</v>
      </c>
      <c r="B12" s="3" t="s">
        <v>83</v>
      </c>
      <c r="C12" s="18" t="s">
        <v>76</v>
      </c>
      <c r="D12" s="16"/>
      <c r="E12" s="16">
        <v>3000000</v>
      </c>
      <c r="F12" s="16">
        <f t="shared" si="0"/>
        <v>27500000</v>
      </c>
      <c r="G12" s="16"/>
      <c r="I12" s="26" t="s">
        <v>124</v>
      </c>
      <c r="J12" s="3" t="str">
        <f>Laporan!B58</f>
        <v>Hutang Gaji</v>
      </c>
      <c r="K12" s="16"/>
      <c r="L12" s="16">
        <f>G72</f>
        <v>3500000</v>
      </c>
    </row>
    <row r="13" spans="1:12" x14ac:dyDescent="0.35">
      <c r="A13" s="20">
        <v>42761</v>
      </c>
      <c r="B13" s="3" t="s">
        <v>84</v>
      </c>
      <c r="C13" s="18" t="s">
        <v>76</v>
      </c>
      <c r="D13" s="16"/>
      <c r="E13" s="16">
        <v>1500000</v>
      </c>
      <c r="F13" s="16">
        <f t="shared" si="0"/>
        <v>26000000</v>
      </c>
      <c r="G13" s="16"/>
      <c r="I13" s="26" t="s">
        <v>125</v>
      </c>
      <c r="J13" s="3" t="str">
        <f>Laporan!B44</f>
        <v>Modal</v>
      </c>
      <c r="K13" s="16"/>
      <c r="L13" s="16">
        <f>G79</f>
        <v>24600000</v>
      </c>
    </row>
    <row r="14" spans="1:12" x14ac:dyDescent="0.35">
      <c r="A14" s="20">
        <v>42763</v>
      </c>
      <c r="B14" s="3" t="s">
        <v>85</v>
      </c>
      <c r="C14" s="18" t="s">
        <v>76</v>
      </c>
      <c r="D14" s="16"/>
      <c r="E14" s="16">
        <v>2500000</v>
      </c>
      <c r="F14" s="16">
        <f t="shared" si="0"/>
        <v>23500000</v>
      </c>
      <c r="G14" s="16"/>
      <c r="I14" s="26" t="s">
        <v>126</v>
      </c>
      <c r="J14" s="3" t="str">
        <f>Laporan!B52</f>
        <v>Prive</v>
      </c>
      <c r="K14" s="16">
        <f>F85</f>
        <v>0</v>
      </c>
      <c r="L14" s="16"/>
    </row>
    <row r="15" spans="1:12" x14ac:dyDescent="0.35">
      <c r="A15" s="20">
        <v>42948</v>
      </c>
      <c r="B15" s="3" t="s">
        <v>86</v>
      </c>
      <c r="C15" s="18" t="s">
        <v>76</v>
      </c>
      <c r="D15" s="16"/>
      <c r="E15" s="16">
        <v>12000000</v>
      </c>
      <c r="F15" s="16">
        <f t="shared" si="0"/>
        <v>11500000</v>
      </c>
      <c r="G15" s="16"/>
      <c r="I15" s="26" t="s">
        <v>127</v>
      </c>
      <c r="J15" s="3" t="str">
        <f>Laporan!B49</f>
        <v>Pendapatan</v>
      </c>
      <c r="K15" s="16"/>
      <c r="L15" s="16">
        <f>G95</f>
        <v>0</v>
      </c>
    </row>
    <row r="16" spans="1:12" x14ac:dyDescent="0.35">
      <c r="A16" s="20">
        <v>42979</v>
      </c>
      <c r="B16" s="3" t="s">
        <v>87</v>
      </c>
      <c r="C16" s="18" t="s">
        <v>76</v>
      </c>
      <c r="D16" s="16">
        <v>12000000</v>
      </c>
      <c r="E16" s="16"/>
      <c r="F16" s="16">
        <f>F15+D16-E16</f>
        <v>23500000</v>
      </c>
      <c r="G16" s="16"/>
      <c r="I16" s="26" t="s">
        <v>128</v>
      </c>
      <c r="J16" s="3" t="str">
        <f>Laporan!B53</f>
        <v>Beban Utilitas</v>
      </c>
      <c r="K16" s="16">
        <f>F101</f>
        <v>0</v>
      </c>
      <c r="L16" s="16"/>
    </row>
    <row r="17" spans="1:12" x14ac:dyDescent="0.35">
      <c r="I17" s="26" t="s">
        <v>129</v>
      </c>
      <c r="J17" s="3" t="str">
        <f>Laporan!B51</f>
        <v>Beban Gaji</v>
      </c>
      <c r="K17" s="16">
        <f>F108</f>
        <v>0</v>
      </c>
      <c r="L17" s="16"/>
    </row>
    <row r="18" spans="1:12" x14ac:dyDescent="0.35">
      <c r="A18" s="21" t="s">
        <v>10</v>
      </c>
      <c r="I18" s="26" t="s">
        <v>130</v>
      </c>
      <c r="J18" s="3" t="str">
        <f>Laporan!B56</f>
        <v>Beban Sewa</v>
      </c>
      <c r="K18" s="16">
        <f>F114</f>
        <v>0</v>
      </c>
      <c r="L18" s="16"/>
    </row>
    <row r="19" spans="1:12" x14ac:dyDescent="0.35">
      <c r="A19" s="29" t="s">
        <v>1</v>
      </c>
      <c r="B19" s="30" t="s">
        <v>73</v>
      </c>
      <c r="C19" s="30" t="s">
        <v>74</v>
      </c>
      <c r="D19" s="31" t="s">
        <v>3</v>
      </c>
      <c r="E19" s="31" t="s">
        <v>21</v>
      </c>
      <c r="F19" s="31" t="s">
        <v>75</v>
      </c>
      <c r="G19" s="31"/>
      <c r="I19" s="26" t="s">
        <v>131</v>
      </c>
      <c r="J19" s="3" t="str">
        <f>Laporan!B57</f>
        <v>Beban Asuransi</v>
      </c>
      <c r="K19" s="16">
        <f>F120</f>
        <v>0</v>
      </c>
      <c r="L19" s="16"/>
    </row>
    <row r="20" spans="1:12" x14ac:dyDescent="0.35">
      <c r="A20" s="29"/>
      <c r="B20" s="30"/>
      <c r="C20" s="30"/>
      <c r="D20" s="31"/>
      <c r="E20" s="31"/>
      <c r="F20" s="16" t="s">
        <v>3</v>
      </c>
      <c r="G20" s="16" t="s">
        <v>21</v>
      </c>
      <c r="I20" s="26" t="s">
        <v>132</v>
      </c>
      <c r="J20" s="3" t="str">
        <f>Laporan!B59</f>
        <v>Beban penyusutan peralatan</v>
      </c>
      <c r="K20" s="16">
        <f>F126</f>
        <v>0</v>
      </c>
      <c r="L20" s="16"/>
    </row>
    <row r="21" spans="1:12" x14ac:dyDescent="0.35">
      <c r="A21" s="20">
        <v>42738</v>
      </c>
      <c r="B21" s="3" t="s">
        <v>88</v>
      </c>
      <c r="C21" s="18" t="s">
        <v>76</v>
      </c>
      <c r="D21" s="16">
        <v>5000000</v>
      </c>
      <c r="E21" s="16"/>
      <c r="F21" s="16">
        <f>D21-E21</f>
        <v>5000000</v>
      </c>
      <c r="G21" s="16"/>
      <c r="I21" s="26" t="s">
        <v>133</v>
      </c>
      <c r="J21" s="3" t="str">
        <f>Laporan!B61</f>
        <v>Beban Perlengkapan</v>
      </c>
      <c r="K21" s="16">
        <f>F132</f>
        <v>0</v>
      </c>
      <c r="L21" s="16"/>
    </row>
    <row r="22" spans="1:12" x14ac:dyDescent="0.35">
      <c r="A22" s="20">
        <v>42741</v>
      </c>
      <c r="B22" s="3" t="s">
        <v>89</v>
      </c>
      <c r="C22" s="18" t="s">
        <v>76</v>
      </c>
      <c r="D22" s="16">
        <v>3000000</v>
      </c>
      <c r="E22" s="16"/>
      <c r="F22" s="16">
        <f>F21+D22-E22</f>
        <v>8000000</v>
      </c>
      <c r="G22" s="16"/>
      <c r="I22" s="20"/>
      <c r="J22" s="3" t="s">
        <v>141</v>
      </c>
      <c r="K22" s="3"/>
      <c r="L22" s="16">
        <f>G139</f>
        <v>0</v>
      </c>
    </row>
    <row r="23" spans="1:12" x14ac:dyDescent="0.35">
      <c r="A23" s="20">
        <v>42744</v>
      </c>
      <c r="B23" s="3" t="s">
        <v>90</v>
      </c>
      <c r="C23" s="18" t="s">
        <v>76</v>
      </c>
      <c r="D23" s="16">
        <v>9000000</v>
      </c>
      <c r="E23" s="16"/>
      <c r="F23" s="16">
        <f t="shared" ref="F23:F26" si="1">F22+D23-E23</f>
        <v>17000000</v>
      </c>
      <c r="G23" s="16"/>
      <c r="K23" s="23">
        <f>SUM(K3:K22)</f>
        <v>37700000</v>
      </c>
      <c r="L23" s="23">
        <f>SUM(L3:L22)</f>
        <v>37700000</v>
      </c>
    </row>
    <row r="24" spans="1:12" x14ac:dyDescent="0.35">
      <c r="A24" s="20">
        <v>42744</v>
      </c>
      <c r="B24" s="3" t="s">
        <v>92</v>
      </c>
      <c r="C24" s="18" t="s">
        <v>76</v>
      </c>
      <c r="D24" s="16"/>
      <c r="E24" s="16">
        <v>3000000</v>
      </c>
      <c r="F24" s="16">
        <f t="shared" si="1"/>
        <v>14000000</v>
      </c>
      <c r="G24" s="16"/>
    </row>
    <row r="25" spans="1:12" x14ac:dyDescent="0.35">
      <c r="A25" s="20">
        <v>42757</v>
      </c>
      <c r="B25" s="3" t="s">
        <v>91</v>
      </c>
      <c r="C25" s="18" t="s">
        <v>76</v>
      </c>
      <c r="D25" s="16"/>
      <c r="E25" s="16">
        <v>5000000</v>
      </c>
      <c r="F25" s="16">
        <f t="shared" si="1"/>
        <v>9000000</v>
      </c>
      <c r="G25" s="16"/>
    </row>
    <row r="26" spans="1:12" x14ac:dyDescent="0.35">
      <c r="A26" s="20">
        <v>42759</v>
      </c>
      <c r="B26" s="3" t="s">
        <v>92</v>
      </c>
      <c r="C26" s="18" t="s">
        <v>76</v>
      </c>
      <c r="D26" s="16"/>
      <c r="E26" s="16">
        <v>6000000</v>
      </c>
      <c r="F26" s="16">
        <f t="shared" si="1"/>
        <v>3000000</v>
      </c>
      <c r="G26" s="16"/>
    </row>
    <row r="28" spans="1:12" x14ac:dyDescent="0.35">
      <c r="A28" s="21" t="s">
        <v>8</v>
      </c>
    </row>
    <row r="29" spans="1:12" x14ac:dyDescent="0.35">
      <c r="A29" s="29" t="s">
        <v>1</v>
      </c>
      <c r="B29" s="30" t="s">
        <v>73</v>
      </c>
      <c r="C29" s="30" t="s">
        <v>74</v>
      </c>
      <c r="D29" s="31" t="s">
        <v>3</v>
      </c>
      <c r="E29" s="31" t="s">
        <v>21</v>
      </c>
      <c r="F29" s="31" t="s">
        <v>75</v>
      </c>
      <c r="G29" s="31"/>
    </row>
    <row r="30" spans="1:12" x14ac:dyDescent="0.35">
      <c r="A30" s="29"/>
      <c r="B30" s="30"/>
      <c r="C30" s="30"/>
      <c r="D30" s="31"/>
      <c r="E30" s="31"/>
      <c r="F30" s="16" t="s">
        <v>3</v>
      </c>
      <c r="G30" s="16" t="s">
        <v>21</v>
      </c>
    </row>
    <row r="31" spans="1:12" x14ac:dyDescent="0.35">
      <c r="A31" s="20">
        <v>42737</v>
      </c>
      <c r="B31" s="3" t="s">
        <v>93</v>
      </c>
      <c r="C31" s="18" t="s">
        <v>76</v>
      </c>
      <c r="D31" s="16">
        <v>500000</v>
      </c>
      <c r="E31" s="16"/>
      <c r="F31" s="16">
        <f>D31-E31</f>
        <v>500000</v>
      </c>
      <c r="G31" s="16"/>
    </row>
    <row r="32" spans="1:12" x14ac:dyDescent="0.35">
      <c r="A32" s="20">
        <v>42742</v>
      </c>
      <c r="B32" s="3" t="s">
        <v>94</v>
      </c>
      <c r="C32" s="18" t="s">
        <v>76</v>
      </c>
      <c r="D32" s="16">
        <v>1000000</v>
      </c>
      <c r="E32" s="16"/>
      <c r="F32" s="16">
        <f>F31+D32-E32</f>
        <v>1500000</v>
      </c>
      <c r="G32" s="16"/>
    </row>
    <row r="33" spans="1:7" x14ac:dyDescent="0.35">
      <c r="A33" s="20">
        <v>42758</v>
      </c>
      <c r="B33" s="3" t="s">
        <v>93</v>
      </c>
      <c r="C33" s="18" t="s">
        <v>76</v>
      </c>
      <c r="D33" s="16">
        <v>1000000</v>
      </c>
      <c r="E33" s="16"/>
      <c r="F33" s="16">
        <f t="shared" ref="F33:F34" si="2">F32+D33-E33</f>
        <v>2500000</v>
      </c>
      <c r="G33" s="16"/>
    </row>
    <row r="34" spans="1:7" x14ac:dyDescent="0.35">
      <c r="A34" s="20">
        <v>43100</v>
      </c>
      <c r="B34" s="3" t="s">
        <v>95</v>
      </c>
      <c r="C34" s="18" t="s">
        <v>20</v>
      </c>
      <c r="D34" s="16"/>
      <c r="E34" s="16">
        <v>1300000</v>
      </c>
      <c r="F34" s="16">
        <f t="shared" si="2"/>
        <v>1200000</v>
      </c>
      <c r="G34" s="16"/>
    </row>
    <row r="36" spans="1:7" x14ac:dyDescent="0.35">
      <c r="A36" s="21" t="s">
        <v>17</v>
      </c>
    </row>
    <row r="37" spans="1:7" x14ac:dyDescent="0.35">
      <c r="A37" s="29" t="s">
        <v>1</v>
      </c>
      <c r="B37" s="30" t="s">
        <v>73</v>
      </c>
      <c r="C37" s="30" t="s">
        <v>74</v>
      </c>
      <c r="D37" s="31" t="s">
        <v>3</v>
      </c>
      <c r="E37" s="31" t="s">
        <v>21</v>
      </c>
      <c r="F37" s="31" t="s">
        <v>75</v>
      </c>
      <c r="G37" s="31"/>
    </row>
    <row r="38" spans="1:7" x14ac:dyDescent="0.35">
      <c r="A38" s="29"/>
      <c r="B38" s="30"/>
      <c r="C38" s="30"/>
      <c r="D38" s="31"/>
      <c r="E38" s="31"/>
      <c r="F38" s="16" t="s">
        <v>3</v>
      </c>
      <c r="G38" s="16" t="s">
        <v>21</v>
      </c>
    </row>
    <row r="39" spans="1:7" x14ac:dyDescent="0.35">
      <c r="A39" s="20">
        <v>42948</v>
      </c>
      <c r="B39" s="3" t="s">
        <v>96</v>
      </c>
      <c r="C39" s="18" t="s">
        <v>76</v>
      </c>
      <c r="D39" s="16">
        <v>12000000</v>
      </c>
      <c r="E39" s="16"/>
      <c r="F39" s="16">
        <f>D39-E39</f>
        <v>12000000</v>
      </c>
      <c r="G39" s="16"/>
    </row>
    <row r="40" spans="1:7" x14ac:dyDescent="0.35">
      <c r="A40" s="20">
        <v>43100</v>
      </c>
      <c r="B40" s="3" t="s">
        <v>97</v>
      </c>
      <c r="C40" s="18" t="s">
        <v>20</v>
      </c>
      <c r="D40" s="16"/>
      <c r="E40" s="16">
        <v>5000000</v>
      </c>
      <c r="F40" s="16">
        <f>F39+D40-E40</f>
        <v>7000000</v>
      </c>
      <c r="G40" s="16"/>
    </row>
    <row r="42" spans="1:7" x14ac:dyDescent="0.35">
      <c r="A42" s="21" t="s">
        <v>14</v>
      </c>
    </row>
    <row r="43" spans="1:7" x14ac:dyDescent="0.35">
      <c r="A43" s="29" t="s">
        <v>1</v>
      </c>
      <c r="B43" s="30" t="s">
        <v>73</v>
      </c>
      <c r="C43" s="30" t="s">
        <v>74</v>
      </c>
      <c r="D43" s="31" t="s">
        <v>3</v>
      </c>
      <c r="E43" s="31" t="s">
        <v>21</v>
      </c>
      <c r="F43" s="31" t="s">
        <v>75</v>
      </c>
      <c r="G43" s="31"/>
    </row>
    <row r="44" spans="1:7" x14ac:dyDescent="0.35">
      <c r="A44" s="29"/>
      <c r="B44" s="30"/>
      <c r="C44" s="30"/>
      <c r="D44" s="31"/>
      <c r="E44" s="31"/>
      <c r="F44" s="16" t="s">
        <v>3</v>
      </c>
      <c r="G44" s="16" t="s">
        <v>21</v>
      </c>
    </row>
    <row r="45" spans="1:7" x14ac:dyDescent="0.35">
      <c r="A45" s="20">
        <v>42737</v>
      </c>
      <c r="B45" s="3" t="s">
        <v>79</v>
      </c>
      <c r="C45" s="18" t="s">
        <v>76</v>
      </c>
      <c r="D45" s="16">
        <v>3000000</v>
      </c>
      <c r="E45" s="16"/>
      <c r="F45" s="16">
        <f>D45-E45</f>
        <v>3000000</v>
      </c>
      <c r="G45" s="16"/>
    </row>
    <row r="46" spans="1:7" x14ac:dyDescent="0.35">
      <c r="A46" s="20">
        <v>43100</v>
      </c>
      <c r="B46" s="3" t="s">
        <v>98</v>
      </c>
      <c r="C46" s="18" t="s">
        <v>20</v>
      </c>
      <c r="D46" s="16"/>
      <c r="E46" s="16">
        <v>3000000</v>
      </c>
      <c r="F46" s="16">
        <f>F45+D46-E46</f>
        <v>0</v>
      </c>
      <c r="G46" s="16"/>
    </row>
    <row r="48" spans="1:7" x14ac:dyDescent="0.35">
      <c r="A48" s="21" t="s">
        <v>7</v>
      </c>
    </row>
    <row r="49" spans="1:7" x14ac:dyDescent="0.35">
      <c r="A49" s="29" t="s">
        <v>1</v>
      </c>
      <c r="B49" s="30" t="s">
        <v>73</v>
      </c>
      <c r="C49" s="30" t="s">
        <v>74</v>
      </c>
      <c r="D49" s="31" t="s">
        <v>3</v>
      </c>
      <c r="E49" s="31" t="s">
        <v>21</v>
      </c>
      <c r="F49" s="31" t="s">
        <v>75</v>
      </c>
      <c r="G49" s="31"/>
    </row>
    <row r="50" spans="1:7" x14ac:dyDescent="0.35">
      <c r="A50" s="29"/>
      <c r="B50" s="30"/>
      <c r="C50" s="30"/>
      <c r="D50" s="31"/>
      <c r="E50" s="31"/>
      <c r="F50" s="16" t="s">
        <v>3</v>
      </c>
      <c r="G50" s="16" t="s">
        <v>21</v>
      </c>
    </row>
    <row r="51" spans="1:7" x14ac:dyDescent="0.35">
      <c r="A51" s="20">
        <v>42737</v>
      </c>
      <c r="B51" s="3" t="s">
        <v>99</v>
      </c>
      <c r="C51" s="18" t="s">
        <v>76</v>
      </c>
      <c r="D51" s="16">
        <v>3000000</v>
      </c>
      <c r="E51" s="16"/>
      <c r="F51" s="16">
        <f>D51-E51</f>
        <v>3000000</v>
      </c>
      <c r="G51" s="16"/>
    </row>
    <row r="53" spans="1:7" x14ac:dyDescent="0.35">
      <c r="A53" s="21" t="s">
        <v>68</v>
      </c>
    </row>
    <row r="54" spans="1:7" x14ac:dyDescent="0.35">
      <c r="A54" s="29" t="s">
        <v>1</v>
      </c>
      <c r="B54" s="30" t="s">
        <v>73</v>
      </c>
      <c r="C54" s="30" t="s">
        <v>74</v>
      </c>
      <c r="D54" s="31" t="s">
        <v>3</v>
      </c>
      <c r="E54" s="31" t="s">
        <v>21</v>
      </c>
      <c r="F54" s="31" t="s">
        <v>75</v>
      </c>
      <c r="G54" s="31"/>
    </row>
    <row r="55" spans="1:7" x14ac:dyDescent="0.35">
      <c r="A55" s="29"/>
      <c r="B55" s="30"/>
      <c r="C55" s="30"/>
      <c r="D55" s="31"/>
      <c r="E55" s="31"/>
      <c r="F55" s="16" t="s">
        <v>3</v>
      </c>
      <c r="G55" s="16" t="s">
        <v>21</v>
      </c>
    </row>
    <row r="56" spans="1:7" x14ac:dyDescent="0.35">
      <c r="A56" s="20">
        <v>43100</v>
      </c>
      <c r="B56" s="3" t="s">
        <v>100</v>
      </c>
      <c r="C56" s="18" t="s">
        <v>20</v>
      </c>
      <c r="D56" s="16"/>
      <c r="E56" s="16">
        <v>600000</v>
      </c>
      <c r="F56" s="16"/>
      <c r="G56" s="16">
        <f>E56-D56</f>
        <v>600000</v>
      </c>
    </row>
    <row r="58" spans="1:7" x14ac:dyDescent="0.35">
      <c r="A58" s="21" t="s">
        <v>59</v>
      </c>
    </row>
    <row r="59" spans="1:7" x14ac:dyDescent="0.35">
      <c r="A59" s="29" t="s">
        <v>1</v>
      </c>
      <c r="B59" s="30" t="s">
        <v>73</v>
      </c>
      <c r="C59" s="30" t="s">
        <v>74</v>
      </c>
      <c r="D59" s="31" t="s">
        <v>3</v>
      </c>
      <c r="E59" s="31" t="s">
        <v>21</v>
      </c>
      <c r="F59" s="31" t="s">
        <v>75</v>
      </c>
      <c r="G59" s="31"/>
    </row>
    <row r="60" spans="1:7" x14ac:dyDescent="0.35">
      <c r="A60" s="29"/>
      <c r="B60" s="30"/>
      <c r="C60" s="30"/>
      <c r="D60" s="31"/>
      <c r="E60" s="31"/>
      <c r="F60" s="16" t="s">
        <v>3</v>
      </c>
      <c r="G60" s="16" t="s">
        <v>21</v>
      </c>
    </row>
    <row r="61" spans="1:7" x14ac:dyDescent="0.35">
      <c r="A61" s="20">
        <v>42742</v>
      </c>
      <c r="B61" s="3" t="s">
        <v>101</v>
      </c>
      <c r="C61" s="18" t="s">
        <v>76</v>
      </c>
      <c r="D61" s="16"/>
      <c r="E61" s="16">
        <v>1000000</v>
      </c>
      <c r="F61" s="16"/>
      <c r="G61" s="16">
        <f>E61-D61</f>
        <v>1000000</v>
      </c>
    </row>
    <row r="63" spans="1:7" x14ac:dyDescent="0.35">
      <c r="A63" s="21" t="s">
        <v>18</v>
      </c>
    </row>
    <row r="64" spans="1:7" x14ac:dyDescent="0.35">
      <c r="A64" s="29" t="s">
        <v>1</v>
      </c>
      <c r="B64" s="30" t="s">
        <v>73</v>
      </c>
      <c r="C64" s="30" t="s">
        <v>74</v>
      </c>
      <c r="D64" s="31" t="s">
        <v>3</v>
      </c>
      <c r="E64" s="31" t="s">
        <v>21</v>
      </c>
      <c r="F64" s="31" t="s">
        <v>75</v>
      </c>
      <c r="G64" s="31"/>
    </row>
    <row r="65" spans="1:7" x14ac:dyDescent="0.35">
      <c r="A65" s="29"/>
      <c r="B65" s="30"/>
      <c r="C65" s="30"/>
      <c r="D65" s="31"/>
      <c r="E65" s="31"/>
      <c r="F65" s="16" t="s">
        <v>3</v>
      </c>
      <c r="G65" s="16" t="s">
        <v>21</v>
      </c>
    </row>
    <row r="66" spans="1:7" x14ac:dyDescent="0.35">
      <c r="A66" s="27">
        <v>42744</v>
      </c>
      <c r="B66" s="28" t="s">
        <v>87</v>
      </c>
      <c r="C66" s="18" t="s">
        <v>76</v>
      </c>
      <c r="D66" s="19"/>
      <c r="E66" s="16">
        <v>12000000</v>
      </c>
      <c r="F66" s="16"/>
      <c r="G66" s="16">
        <f>E66-D66</f>
        <v>12000000</v>
      </c>
    </row>
    <row r="67" spans="1:7" x14ac:dyDescent="0.35">
      <c r="A67" s="20">
        <v>43100</v>
      </c>
      <c r="B67" s="3" t="s">
        <v>104</v>
      </c>
      <c r="C67" s="18" t="s">
        <v>20</v>
      </c>
      <c r="D67" s="16">
        <v>4000000</v>
      </c>
      <c r="E67" s="16"/>
      <c r="F67" s="16"/>
      <c r="G67" s="16">
        <f>G66+E67-D67</f>
        <v>8000000</v>
      </c>
    </row>
    <row r="69" spans="1:7" x14ac:dyDescent="0.35">
      <c r="A69" s="21" t="s">
        <v>42</v>
      </c>
    </row>
    <row r="70" spans="1:7" x14ac:dyDescent="0.35">
      <c r="A70" s="29" t="s">
        <v>1</v>
      </c>
      <c r="B70" s="30" t="s">
        <v>73</v>
      </c>
      <c r="C70" s="30" t="s">
        <v>74</v>
      </c>
      <c r="D70" s="31" t="s">
        <v>3</v>
      </c>
      <c r="E70" s="31" t="s">
        <v>21</v>
      </c>
      <c r="F70" s="31" t="s">
        <v>75</v>
      </c>
      <c r="G70" s="31"/>
    </row>
    <row r="71" spans="1:7" x14ac:dyDescent="0.35">
      <c r="A71" s="29"/>
      <c r="B71" s="30"/>
      <c r="C71" s="30"/>
      <c r="D71" s="31"/>
      <c r="E71" s="31"/>
      <c r="F71" s="16" t="s">
        <v>3</v>
      </c>
      <c r="G71" s="16" t="s">
        <v>21</v>
      </c>
    </row>
    <row r="72" spans="1:7" x14ac:dyDescent="0.35">
      <c r="A72" s="20">
        <v>43100</v>
      </c>
      <c r="B72" s="3" t="s">
        <v>102</v>
      </c>
      <c r="C72" s="18" t="s">
        <v>20</v>
      </c>
      <c r="D72" s="16"/>
      <c r="E72" s="16">
        <v>3500000</v>
      </c>
      <c r="F72" s="16"/>
      <c r="G72" s="16">
        <f>E72-D72</f>
        <v>3500000</v>
      </c>
    </row>
    <row r="74" spans="1:7" x14ac:dyDescent="0.35">
      <c r="A74" s="21" t="s">
        <v>6</v>
      </c>
    </row>
    <row r="75" spans="1:7" x14ac:dyDescent="0.35">
      <c r="A75" s="29" t="s">
        <v>1</v>
      </c>
      <c r="B75" s="30" t="s">
        <v>73</v>
      </c>
      <c r="C75" s="30" t="s">
        <v>74</v>
      </c>
      <c r="D75" s="31" t="s">
        <v>3</v>
      </c>
      <c r="E75" s="31" t="s">
        <v>21</v>
      </c>
      <c r="F75" s="31" t="s">
        <v>75</v>
      </c>
      <c r="G75" s="31"/>
    </row>
    <row r="76" spans="1:7" x14ac:dyDescent="0.35">
      <c r="A76" s="29"/>
      <c r="B76" s="30"/>
      <c r="C76" s="30"/>
      <c r="D76" s="31"/>
      <c r="E76" s="31"/>
      <c r="F76" s="16" t="s">
        <v>3</v>
      </c>
      <c r="G76" s="16" t="s">
        <v>21</v>
      </c>
    </row>
    <row r="77" spans="1:7" x14ac:dyDescent="0.35">
      <c r="A77" s="20">
        <v>42736</v>
      </c>
      <c r="B77" s="3" t="s">
        <v>77</v>
      </c>
      <c r="C77" s="18" t="s">
        <v>76</v>
      </c>
      <c r="D77" s="16"/>
      <c r="E77" s="16">
        <v>20000000</v>
      </c>
      <c r="F77" s="16"/>
      <c r="G77" s="16">
        <f>E77-D77</f>
        <v>20000000</v>
      </c>
    </row>
    <row r="78" spans="1:7" x14ac:dyDescent="0.35">
      <c r="A78" s="20">
        <v>43100</v>
      </c>
      <c r="B78" s="3" t="s">
        <v>142</v>
      </c>
      <c r="C78" s="18" t="s">
        <v>143</v>
      </c>
      <c r="D78" s="16"/>
      <c r="E78" s="16">
        <f>'Jurnal Penutup'!D15</f>
        <v>6100000</v>
      </c>
      <c r="F78" s="16"/>
      <c r="G78" s="16">
        <f>G77+E78-D78</f>
        <v>26100000</v>
      </c>
    </row>
    <row r="79" spans="1:7" x14ac:dyDescent="0.35">
      <c r="A79" s="20">
        <v>43100</v>
      </c>
      <c r="B79" s="3" t="s">
        <v>142</v>
      </c>
      <c r="C79" s="18" t="s">
        <v>143</v>
      </c>
      <c r="D79" s="16">
        <f>'Jurnal Penutup'!C17</f>
        <v>1500000</v>
      </c>
      <c r="E79" s="16"/>
      <c r="F79" s="16"/>
      <c r="G79" s="16">
        <f>G78+E79-D79</f>
        <v>24600000</v>
      </c>
    </row>
    <row r="81" spans="1:7" x14ac:dyDescent="0.35">
      <c r="A81" s="21" t="s">
        <v>15</v>
      </c>
    </row>
    <row r="82" spans="1:7" x14ac:dyDescent="0.35">
      <c r="A82" s="29" t="s">
        <v>1</v>
      </c>
      <c r="B82" s="30" t="s">
        <v>73</v>
      </c>
      <c r="C82" s="30" t="s">
        <v>74</v>
      </c>
      <c r="D82" s="31" t="s">
        <v>3</v>
      </c>
      <c r="E82" s="31" t="s">
        <v>21</v>
      </c>
      <c r="F82" s="31" t="s">
        <v>75</v>
      </c>
      <c r="G82" s="31"/>
    </row>
    <row r="83" spans="1:7" x14ac:dyDescent="0.35">
      <c r="A83" s="29"/>
      <c r="B83" s="30"/>
      <c r="C83" s="30"/>
      <c r="D83" s="31"/>
      <c r="E83" s="31"/>
      <c r="F83" s="16" t="s">
        <v>3</v>
      </c>
      <c r="G83" s="16" t="s">
        <v>21</v>
      </c>
    </row>
    <row r="84" spans="1:7" x14ac:dyDescent="0.35">
      <c r="A84" s="20">
        <v>42736</v>
      </c>
      <c r="B84" s="3" t="s">
        <v>103</v>
      </c>
      <c r="C84" s="18" t="s">
        <v>76</v>
      </c>
      <c r="D84" s="16">
        <v>1500000</v>
      </c>
      <c r="E84" s="16"/>
      <c r="F84" s="16">
        <f>D84-E84</f>
        <v>1500000</v>
      </c>
      <c r="G84" s="16"/>
    </row>
    <row r="85" spans="1:7" x14ac:dyDescent="0.35">
      <c r="A85" s="20">
        <v>43100</v>
      </c>
      <c r="B85" s="3" t="s">
        <v>142</v>
      </c>
      <c r="C85" s="18" t="s">
        <v>143</v>
      </c>
      <c r="D85" s="16"/>
      <c r="E85" s="16">
        <f>'Jurnal Penutup'!D18</f>
        <v>1500000</v>
      </c>
      <c r="F85" s="16">
        <f>F84+D85-E85</f>
        <v>0</v>
      </c>
      <c r="G85" s="16"/>
    </row>
    <row r="87" spans="1:7" x14ac:dyDescent="0.35">
      <c r="A87" s="21" t="s">
        <v>43</v>
      </c>
    </row>
    <row r="88" spans="1:7" x14ac:dyDescent="0.35">
      <c r="A88" s="29" t="s">
        <v>1</v>
      </c>
      <c r="B88" s="30" t="s">
        <v>73</v>
      </c>
      <c r="C88" s="30" t="s">
        <v>74</v>
      </c>
      <c r="D88" s="31" t="s">
        <v>3</v>
      </c>
      <c r="E88" s="31" t="s">
        <v>21</v>
      </c>
      <c r="F88" s="31" t="s">
        <v>75</v>
      </c>
      <c r="G88" s="31"/>
    </row>
    <row r="89" spans="1:7" x14ac:dyDescent="0.35">
      <c r="A89" s="29"/>
      <c r="B89" s="30"/>
      <c r="C89" s="30"/>
      <c r="D89" s="31"/>
      <c r="E89" s="31"/>
      <c r="F89" s="16" t="s">
        <v>3</v>
      </c>
      <c r="G89" s="16" t="s">
        <v>21</v>
      </c>
    </row>
    <row r="90" spans="1:7" x14ac:dyDescent="0.35">
      <c r="A90" s="20">
        <v>42738</v>
      </c>
      <c r="B90" s="3" t="s">
        <v>105</v>
      </c>
      <c r="C90" s="18" t="s">
        <v>76</v>
      </c>
      <c r="D90" s="16"/>
      <c r="E90" s="16">
        <v>5000000</v>
      </c>
      <c r="F90" s="16"/>
      <c r="G90" s="16">
        <f>E90-D90</f>
        <v>5000000</v>
      </c>
    </row>
    <row r="91" spans="1:7" x14ac:dyDescent="0.35">
      <c r="A91" s="20">
        <v>42741</v>
      </c>
      <c r="B91" s="3" t="s">
        <v>106</v>
      </c>
      <c r="C91" s="18" t="s">
        <v>76</v>
      </c>
      <c r="D91" s="16"/>
      <c r="E91" s="16">
        <v>3000000</v>
      </c>
      <c r="F91" s="16"/>
      <c r="G91" s="16">
        <f>G90+E91-D91</f>
        <v>8000000</v>
      </c>
    </row>
    <row r="92" spans="1:7" x14ac:dyDescent="0.35">
      <c r="A92" s="20">
        <v>42744</v>
      </c>
      <c r="B92" s="3" t="s">
        <v>107</v>
      </c>
      <c r="C92" s="18" t="s">
        <v>76</v>
      </c>
      <c r="D92" s="16"/>
      <c r="E92" s="16">
        <v>9000000</v>
      </c>
      <c r="F92" s="16"/>
      <c r="G92" s="16">
        <f t="shared" ref="G92:G95" si="3">G91+E92-D92</f>
        <v>17000000</v>
      </c>
    </row>
    <row r="93" spans="1:7" x14ac:dyDescent="0.35">
      <c r="A93" s="20">
        <v>42756</v>
      </c>
      <c r="B93" s="3" t="s">
        <v>107</v>
      </c>
      <c r="C93" s="18" t="s">
        <v>76</v>
      </c>
      <c r="D93" s="16"/>
      <c r="E93" s="16">
        <v>4000000</v>
      </c>
      <c r="F93" s="16"/>
      <c r="G93" s="16">
        <f t="shared" si="3"/>
        <v>21000000</v>
      </c>
    </row>
    <row r="94" spans="1:7" x14ac:dyDescent="0.35">
      <c r="A94" s="20">
        <v>43100</v>
      </c>
      <c r="B94" s="3" t="s">
        <v>104</v>
      </c>
      <c r="C94" s="18" t="s">
        <v>20</v>
      </c>
      <c r="D94" s="16"/>
      <c r="E94" s="16">
        <v>4000000</v>
      </c>
      <c r="F94" s="16"/>
      <c r="G94" s="16">
        <f t="shared" si="3"/>
        <v>25000000</v>
      </c>
    </row>
    <row r="95" spans="1:7" x14ac:dyDescent="0.35">
      <c r="A95" s="20">
        <v>43100</v>
      </c>
      <c r="B95" s="46" t="s">
        <v>142</v>
      </c>
      <c r="C95" s="18" t="s">
        <v>143</v>
      </c>
      <c r="D95" s="16">
        <f>'Jurnal Penutup'!C3</f>
        <v>25000000</v>
      </c>
      <c r="E95" s="16"/>
      <c r="F95" s="16"/>
      <c r="G95" s="16">
        <f t="shared" si="3"/>
        <v>0</v>
      </c>
    </row>
    <row r="97" spans="1:7" x14ac:dyDescent="0.35">
      <c r="A97" s="21" t="s">
        <v>108</v>
      </c>
    </row>
    <row r="98" spans="1:7" x14ac:dyDescent="0.35">
      <c r="A98" s="29" t="s">
        <v>1</v>
      </c>
      <c r="B98" s="30" t="s">
        <v>73</v>
      </c>
      <c r="C98" s="30" t="s">
        <v>74</v>
      </c>
      <c r="D98" s="31" t="s">
        <v>3</v>
      </c>
      <c r="E98" s="31" t="s">
        <v>21</v>
      </c>
      <c r="F98" s="31" t="s">
        <v>75</v>
      </c>
      <c r="G98" s="31"/>
    </row>
    <row r="99" spans="1:7" x14ac:dyDescent="0.35">
      <c r="A99" s="29"/>
      <c r="B99" s="30"/>
      <c r="C99" s="30"/>
      <c r="D99" s="31"/>
      <c r="E99" s="31"/>
      <c r="F99" s="16" t="s">
        <v>3</v>
      </c>
      <c r="G99" s="16" t="s">
        <v>21</v>
      </c>
    </row>
    <row r="100" spans="1:7" x14ac:dyDescent="0.35">
      <c r="A100" s="20">
        <v>42763</v>
      </c>
      <c r="B100" s="3" t="s">
        <v>110</v>
      </c>
      <c r="C100" s="18" t="s">
        <v>76</v>
      </c>
      <c r="D100" s="16">
        <v>2500000</v>
      </c>
      <c r="E100" s="16"/>
      <c r="F100" s="16">
        <f>D100-E100</f>
        <v>2500000</v>
      </c>
      <c r="G100" s="16"/>
    </row>
    <row r="101" spans="1:7" x14ac:dyDescent="0.35">
      <c r="A101" s="20">
        <v>43100</v>
      </c>
      <c r="B101" s="3" t="s">
        <v>142</v>
      </c>
      <c r="C101" s="18" t="s">
        <v>143</v>
      </c>
      <c r="D101" s="16"/>
      <c r="E101" s="16">
        <f>'Jurnal Penutup'!D7</f>
        <v>2500000</v>
      </c>
      <c r="F101" s="16">
        <f>F100+D101-E101</f>
        <v>0</v>
      </c>
      <c r="G101" s="16"/>
    </row>
    <row r="103" spans="1:7" x14ac:dyDescent="0.35">
      <c r="A103" s="21" t="s">
        <v>13</v>
      </c>
    </row>
    <row r="104" spans="1:7" x14ac:dyDescent="0.35">
      <c r="A104" s="29" t="s">
        <v>1</v>
      </c>
      <c r="B104" s="30" t="s">
        <v>73</v>
      </c>
      <c r="C104" s="30" t="s">
        <v>74</v>
      </c>
      <c r="D104" s="31" t="s">
        <v>3</v>
      </c>
      <c r="E104" s="31" t="s">
        <v>21</v>
      </c>
      <c r="F104" s="31" t="s">
        <v>75</v>
      </c>
      <c r="G104" s="31"/>
    </row>
    <row r="105" spans="1:7" x14ac:dyDescent="0.35">
      <c r="A105" s="29"/>
      <c r="B105" s="30"/>
      <c r="C105" s="30"/>
      <c r="D105" s="31"/>
      <c r="E105" s="31"/>
      <c r="F105" s="16" t="s">
        <v>3</v>
      </c>
      <c r="G105" s="16" t="s">
        <v>21</v>
      </c>
    </row>
    <row r="106" spans="1:7" x14ac:dyDescent="0.35">
      <c r="A106" s="20">
        <v>42760</v>
      </c>
      <c r="B106" s="3" t="s">
        <v>83</v>
      </c>
      <c r="C106" s="18" t="s">
        <v>76</v>
      </c>
      <c r="D106" s="16">
        <v>3000000</v>
      </c>
      <c r="E106" s="16"/>
      <c r="F106" s="16">
        <f>D106-E106</f>
        <v>3000000</v>
      </c>
      <c r="G106" s="16"/>
    </row>
    <row r="107" spans="1:7" x14ac:dyDescent="0.35">
      <c r="A107" s="20">
        <v>43100</v>
      </c>
      <c r="B107" s="3" t="s">
        <v>111</v>
      </c>
      <c r="C107" s="18" t="s">
        <v>20</v>
      </c>
      <c r="D107" s="16">
        <v>3500000</v>
      </c>
      <c r="E107" s="16"/>
      <c r="F107" s="16">
        <f>F106+D107-E107</f>
        <v>6500000</v>
      </c>
      <c r="G107" s="16"/>
    </row>
    <row r="108" spans="1:7" x14ac:dyDescent="0.35">
      <c r="A108" s="20">
        <v>43100</v>
      </c>
      <c r="B108" s="3" t="s">
        <v>142</v>
      </c>
      <c r="C108" s="18" t="s">
        <v>143</v>
      </c>
      <c r="D108" s="16"/>
      <c r="E108" s="16">
        <f>'Jurnal Penutup'!D8</f>
        <v>6500000</v>
      </c>
      <c r="F108" s="16">
        <f>F107+D108-E108</f>
        <v>0</v>
      </c>
      <c r="G108" s="16"/>
    </row>
    <row r="110" spans="1:7" x14ac:dyDescent="0.35">
      <c r="A110" s="21" t="s">
        <v>22</v>
      </c>
    </row>
    <row r="111" spans="1:7" x14ac:dyDescent="0.35">
      <c r="A111" s="29" t="s">
        <v>1</v>
      </c>
      <c r="B111" s="30" t="s">
        <v>73</v>
      </c>
      <c r="C111" s="30" t="s">
        <v>74</v>
      </c>
      <c r="D111" s="31" t="s">
        <v>3</v>
      </c>
      <c r="E111" s="31" t="s">
        <v>21</v>
      </c>
      <c r="F111" s="31" t="s">
        <v>75</v>
      </c>
      <c r="G111" s="31"/>
    </row>
    <row r="112" spans="1:7" x14ac:dyDescent="0.35">
      <c r="A112" s="29"/>
      <c r="B112" s="30"/>
      <c r="C112" s="30"/>
      <c r="D112" s="31"/>
      <c r="E112" s="31"/>
      <c r="F112" s="16" t="s">
        <v>3</v>
      </c>
      <c r="G112" s="16" t="s">
        <v>21</v>
      </c>
    </row>
    <row r="113" spans="1:7" x14ac:dyDescent="0.35">
      <c r="A113" s="20">
        <v>43100</v>
      </c>
      <c r="B113" s="3" t="s">
        <v>98</v>
      </c>
      <c r="C113" s="18" t="s">
        <v>20</v>
      </c>
      <c r="D113" s="16">
        <v>3000000</v>
      </c>
      <c r="E113" s="16"/>
      <c r="F113" s="16">
        <f>D113-E113</f>
        <v>3000000</v>
      </c>
      <c r="G113" s="16"/>
    </row>
    <row r="114" spans="1:7" x14ac:dyDescent="0.35">
      <c r="A114" s="20">
        <v>43100</v>
      </c>
      <c r="B114" s="3" t="s">
        <v>142</v>
      </c>
      <c r="C114" s="18" t="s">
        <v>143</v>
      </c>
      <c r="D114" s="16"/>
      <c r="E114" s="16">
        <f>'Jurnal Penutup'!D9</f>
        <v>3000000</v>
      </c>
      <c r="F114" s="16">
        <f>F113+D114-E114</f>
        <v>0</v>
      </c>
      <c r="G114" s="16"/>
    </row>
    <row r="116" spans="1:7" x14ac:dyDescent="0.35">
      <c r="A116" s="21" t="s">
        <v>23</v>
      </c>
    </row>
    <row r="117" spans="1:7" x14ac:dyDescent="0.35">
      <c r="A117" s="29" t="s">
        <v>1</v>
      </c>
      <c r="B117" s="30" t="s">
        <v>73</v>
      </c>
      <c r="C117" s="30" t="s">
        <v>74</v>
      </c>
      <c r="D117" s="31" t="s">
        <v>3</v>
      </c>
      <c r="E117" s="31" t="s">
        <v>21</v>
      </c>
      <c r="F117" s="31" t="s">
        <v>75</v>
      </c>
      <c r="G117" s="31"/>
    </row>
    <row r="118" spans="1:7" x14ac:dyDescent="0.35">
      <c r="A118" s="29"/>
      <c r="B118" s="30"/>
      <c r="C118" s="30"/>
      <c r="D118" s="31"/>
      <c r="E118" s="31"/>
      <c r="F118" s="16" t="s">
        <v>3</v>
      </c>
      <c r="G118" s="16" t="s">
        <v>21</v>
      </c>
    </row>
    <row r="119" spans="1:7" x14ac:dyDescent="0.35">
      <c r="A119" s="20">
        <v>43100</v>
      </c>
      <c r="B119" s="3" t="s">
        <v>97</v>
      </c>
      <c r="C119" s="18" t="s">
        <v>20</v>
      </c>
      <c r="D119" s="16">
        <v>5000000</v>
      </c>
      <c r="E119" s="16"/>
      <c r="F119" s="16">
        <f>D119-E119</f>
        <v>5000000</v>
      </c>
      <c r="G119" s="16"/>
    </row>
    <row r="120" spans="1:7" x14ac:dyDescent="0.35">
      <c r="A120" s="20">
        <v>43100</v>
      </c>
      <c r="B120" s="3" t="s">
        <v>142</v>
      </c>
      <c r="C120" s="18" t="s">
        <v>143</v>
      </c>
      <c r="D120" s="16"/>
      <c r="E120" s="16">
        <f>'Jurnal Penutup'!D10</f>
        <v>5000000</v>
      </c>
      <c r="F120" s="16">
        <f>F119+D120-E120</f>
        <v>0</v>
      </c>
      <c r="G120" s="16"/>
    </row>
    <row r="122" spans="1:7" x14ac:dyDescent="0.35">
      <c r="A122" s="21" t="s">
        <v>109</v>
      </c>
    </row>
    <row r="123" spans="1:7" x14ac:dyDescent="0.35">
      <c r="A123" s="29" t="s">
        <v>1</v>
      </c>
      <c r="B123" s="30" t="s">
        <v>73</v>
      </c>
      <c r="C123" s="30" t="s">
        <v>74</v>
      </c>
      <c r="D123" s="31" t="s">
        <v>3</v>
      </c>
      <c r="E123" s="31" t="s">
        <v>21</v>
      </c>
      <c r="F123" s="31" t="s">
        <v>75</v>
      </c>
      <c r="G123" s="31"/>
    </row>
    <row r="124" spans="1:7" x14ac:dyDescent="0.35">
      <c r="A124" s="29"/>
      <c r="B124" s="30"/>
      <c r="C124" s="30"/>
      <c r="D124" s="31"/>
      <c r="E124" s="31"/>
      <c r="F124" s="16" t="s">
        <v>3</v>
      </c>
      <c r="G124" s="16" t="s">
        <v>21</v>
      </c>
    </row>
    <row r="125" spans="1:7" x14ac:dyDescent="0.35">
      <c r="A125" s="20">
        <v>43100</v>
      </c>
      <c r="B125" s="3" t="s">
        <v>112</v>
      </c>
      <c r="C125" s="18" t="s">
        <v>20</v>
      </c>
      <c r="D125" s="16">
        <v>600000</v>
      </c>
      <c r="E125" s="16"/>
      <c r="F125" s="16">
        <f>D125-E125</f>
        <v>600000</v>
      </c>
      <c r="G125" s="16"/>
    </row>
    <row r="126" spans="1:7" x14ac:dyDescent="0.35">
      <c r="A126" s="20">
        <v>43100</v>
      </c>
      <c r="B126" s="3" t="s">
        <v>142</v>
      </c>
      <c r="C126" s="18" t="s">
        <v>143</v>
      </c>
      <c r="D126" s="16"/>
      <c r="E126" s="16">
        <f>'Jurnal Penutup'!D11</f>
        <v>600000</v>
      </c>
      <c r="F126" s="16">
        <f>F125+D126-E126</f>
        <v>0</v>
      </c>
      <c r="G126" s="16"/>
    </row>
    <row r="128" spans="1:7" x14ac:dyDescent="0.35">
      <c r="A128" s="21" t="s">
        <v>28</v>
      </c>
    </row>
    <row r="129" spans="1:7" x14ac:dyDescent="0.35">
      <c r="A129" s="29" t="s">
        <v>1</v>
      </c>
      <c r="B129" s="30" t="s">
        <v>73</v>
      </c>
      <c r="C129" s="30" t="s">
        <v>74</v>
      </c>
      <c r="D129" s="31" t="s">
        <v>3</v>
      </c>
      <c r="E129" s="31" t="s">
        <v>21</v>
      </c>
      <c r="F129" s="31" t="s">
        <v>75</v>
      </c>
      <c r="G129" s="31"/>
    </row>
    <row r="130" spans="1:7" x14ac:dyDescent="0.35">
      <c r="A130" s="29"/>
      <c r="B130" s="30"/>
      <c r="C130" s="30"/>
      <c r="D130" s="31"/>
      <c r="E130" s="31"/>
      <c r="F130" s="16" t="s">
        <v>3</v>
      </c>
      <c r="G130" s="16" t="s">
        <v>21</v>
      </c>
    </row>
    <row r="131" spans="1:7" x14ac:dyDescent="0.35">
      <c r="A131" s="20">
        <v>42736</v>
      </c>
      <c r="B131" s="3" t="s">
        <v>113</v>
      </c>
      <c r="C131" s="18" t="s">
        <v>76</v>
      </c>
      <c r="D131" s="16">
        <v>1300000</v>
      </c>
      <c r="E131" s="16"/>
      <c r="F131" s="16">
        <f>D131-E131</f>
        <v>1300000</v>
      </c>
      <c r="G131" s="16"/>
    </row>
    <row r="132" spans="1:7" x14ac:dyDescent="0.35">
      <c r="A132" s="20">
        <v>43100</v>
      </c>
      <c r="B132" s="3" t="s">
        <v>142</v>
      </c>
      <c r="C132" s="18" t="s">
        <v>143</v>
      </c>
      <c r="D132" s="16"/>
      <c r="E132" s="16">
        <f>'Jurnal Penutup'!D12</f>
        <v>1300000</v>
      </c>
      <c r="F132" s="16">
        <f>F131+D132-E132</f>
        <v>0</v>
      </c>
      <c r="G132" s="16"/>
    </row>
    <row r="134" spans="1:7" x14ac:dyDescent="0.35">
      <c r="A134" s="21" t="s">
        <v>141</v>
      </c>
    </row>
    <row r="135" spans="1:7" x14ac:dyDescent="0.35">
      <c r="A135" s="29" t="s">
        <v>1</v>
      </c>
      <c r="B135" s="30" t="s">
        <v>73</v>
      </c>
      <c r="C135" s="30" t="s">
        <v>74</v>
      </c>
      <c r="D135" s="31" t="s">
        <v>3</v>
      </c>
      <c r="E135" s="31" t="s">
        <v>21</v>
      </c>
      <c r="F135" s="31" t="s">
        <v>75</v>
      </c>
      <c r="G135" s="31"/>
    </row>
    <row r="136" spans="1:7" x14ac:dyDescent="0.35">
      <c r="A136" s="29"/>
      <c r="B136" s="30"/>
      <c r="C136" s="30"/>
      <c r="D136" s="31"/>
      <c r="E136" s="31"/>
      <c r="F136" s="16" t="s">
        <v>3</v>
      </c>
      <c r="G136" s="16" t="s">
        <v>21</v>
      </c>
    </row>
    <row r="137" spans="1:7" x14ac:dyDescent="0.35">
      <c r="A137" s="20">
        <v>43100</v>
      </c>
      <c r="B137" s="3" t="s">
        <v>142</v>
      </c>
      <c r="C137" s="18" t="s">
        <v>143</v>
      </c>
      <c r="D137" s="16"/>
      <c r="E137" s="16">
        <f>'Jurnal Penutup'!D4</f>
        <v>25000000</v>
      </c>
      <c r="F137" s="16"/>
      <c r="G137" s="16">
        <f>E137-D137</f>
        <v>25000000</v>
      </c>
    </row>
    <row r="138" spans="1:7" x14ac:dyDescent="0.35">
      <c r="A138" s="20">
        <v>43100</v>
      </c>
      <c r="B138" s="3" t="s">
        <v>142</v>
      </c>
      <c r="C138" s="18" t="s">
        <v>143</v>
      </c>
      <c r="D138" s="16">
        <f>'Jurnal Penutup'!C6</f>
        <v>18900000</v>
      </c>
      <c r="E138" s="16"/>
      <c r="F138" s="16"/>
      <c r="G138" s="16">
        <f>G137+E138-D138</f>
        <v>6100000</v>
      </c>
    </row>
    <row r="139" spans="1:7" x14ac:dyDescent="0.35">
      <c r="A139" s="20">
        <v>43100</v>
      </c>
      <c r="B139" s="3" t="s">
        <v>142</v>
      </c>
      <c r="C139" s="18" t="s">
        <v>143</v>
      </c>
      <c r="D139" s="16">
        <f>'Jurnal Penutup'!C14</f>
        <v>6100000</v>
      </c>
      <c r="E139" s="16"/>
      <c r="F139" s="16"/>
      <c r="G139" s="16">
        <f>G138+E139-D139</f>
        <v>0</v>
      </c>
    </row>
  </sheetData>
  <mergeCells count="120">
    <mergeCell ref="A135:A136"/>
    <mergeCell ref="B135:B136"/>
    <mergeCell ref="C135:C136"/>
    <mergeCell ref="D135:D136"/>
    <mergeCell ref="E135:E136"/>
    <mergeCell ref="F135:G135"/>
    <mergeCell ref="A2:A3"/>
    <mergeCell ref="B2:B3"/>
    <mergeCell ref="C2:C3"/>
    <mergeCell ref="D2:D3"/>
    <mergeCell ref="E2:E3"/>
    <mergeCell ref="F2:G2"/>
    <mergeCell ref="A29:A30"/>
    <mergeCell ref="B29:B30"/>
    <mergeCell ref="C29:C30"/>
    <mergeCell ref="D29:D30"/>
    <mergeCell ref="E29:E30"/>
    <mergeCell ref="F29:G29"/>
    <mergeCell ref="A19:A20"/>
    <mergeCell ref="B19:B20"/>
    <mergeCell ref="C19:C20"/>
    <mergeCell ref="D19:D20"/>
    <mergeCell ref="E19:E20"/>
    <mergeCell ref="F19:G19"/>
    <mergeCell ref="A43:A44"/>
    <mergeCell ref="B43:B44"/>
    <mergeCell ref="C43:C44"/>
    <mergeCell ref="D43:D44"/>
    <mergeCell ref="E43:E44"/>
    <mergeCell ref="F43:G43"/>
    <mergeCell ref="A37:A38"/>
    <mergeCell ref="B37:B38"/>
    <mergeCell ref="C37:C38"/>
    <mergeCell ref="D37:D38"/>
    <mergeCell ref="E37:E38"/>
    <mergeCell ref="F37:G37"/>
    <mergeCell ref="A54:A55"/>
    <mergeCell ref="B54:B55"/>
    <mergeCell ref="C54:C55"/>
    <mergeCell ref="D54:D55"/>
    <mergeCell ref="E54:E55"/>
    <mergeCell ref="F54:G54"/>
    <mergeCell ref="A49:A50"/>
    <mergeCell ref="B49:B50"/>
    <mergeCell ref="C49:C50"/>
    <mergeCell ref="D49:D50"/>
    <mergeCell ref="E49:E50"/>
    <mergeCell ref="F49:G49"/>
    <mergeCell ref="A64:A65"/>
    <mergeCell ref="B64:B65"/>
    <mergeCell ref="C64:C65"/>
    <mergeCell ref="D64:D65"/>
    <mergeCell ref="E64:E65"/>
    <mergeCell ref="F64:G64"/>
    <mergeCell ref="A59:A60"/>
    <mergeCell ref="B59:B60"/>
    <mergeCell ref="C59:C60"/>
    <mergeCell ref="D59:D60"/>
    <mergeCell ref="E59:E60"/>
    <mergeCell ref="F59:G59"/>
    <mergeCell ref="A75:A76"/>
    <mergeCell ref="B75:B76"/>
    <mergeCell ref="C75:C76"/>
    <mergeCell ref="D75:D76"/>
    <mergeCell ref="E75:E76"/>
    <mergeCell ref="F75:G75"/>
    <mergeCell ref="A70:A71"/>
    <mergeCell ref="B70:B71"/>
    <mergeCell ref="C70:C71"/>
    <mergeCell ref="D70:D71"/>
    <mergeCell ref="E70:E71"/>
    <mergeCell ref="F70:G70"/>
    <mergeCell ref="A88:A89"/>
    <mergeCell ref="B88:B89"/>
    <mergeCell ref="C88:C89"/>
    <mergeCell ref="D88:D89"/>
    <mergeCell ref="E88:E89"/>
    <mergeCell ref="F88:G88"/>
    <mergeCell ref="A82:A83"/>
    <mergeCell ref="B82:B83"/>
    <mergeCell ref="C82:C83"/>
    <mergeCell ref="D82:D83"/>
    <mergeCell ref="E82:E83"/>
    <mergeCell ref="F82:G82"/>
    <mergeCell ref="A104:A105"/>
    <mergeCell ref="B104:B105"/>
    <mergeCell ref="C104:C105"/>
    <mergeCell ref="D104:D105"/>
    <mergeCell ref="E104:E105"/>
    <mergeCell ref="F104:G104"/>
    <mergeCell ref="A98:A99"/>
    <mergeCell ref="B98:B99"/>
    <mergeCell ref="C98:C99"/>
    <mergeCell ref="D98:D99"/>
    <mergeCell ref="E98:E99"/>
    <mergeCell ref="F98:G98"/>
    <mergeCell ref="A117:A118"/>
    <mergeCell ref="B117:B118"/>
    <mergeCell ref="C117:C118"/>
    <mergeCell ref="D117:D118"/>
    <mergeCell ref="E117:E118"/>
    <mergeCell ref="F117:G117"/>
    <mergeCell ref="A111:A112"/>
    <mergeCell ref="B111:B112"/>
    <mergeCell ref="C111:C112"/>
    <mergeCell ref="D111:D112"/>
    <mergeCell ref="E111:E112"/>
    <mergeCell ref="F111:G111"/>
    <mergeCell ref="A129:A130"/>
    <mergeCell ref="B129:B130"/>
    <mergeCell ref="C129:C130"/>
    <mergeCell ref="D129:D130"/>
    <mergeCell ref="E129:E130"/>
    <mergeCell ref="F129:G129"/>
    <mergeCell ref="A123:A124"/>
    <mergeCell ref="B123:B124"/>
    <mergeCell ref="C123:C124"/>
    <mergeCell ref="D123:D124"/>
    <mergeCell ref="E123:E124"/>
    <mergeCell ref="F123:G12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40772-A4E3-46F7-8153-3C64CF2293A9}">
  <dimension ref="A1:G19"/>
  <sheetViews>
    <sheetView zoomScale="76" zoomScaleNormal="76" workbookViewId="0">
      <selection activeCell="C26" sqref="C26"/>
    </sheetView>
  </sheetViews>
  <sheetFormatPr defaultRowHeight="14.5" x14ac:dyDescent="0.35"/>
  <cols>
    <col min="1" max="1" width="12.90625" style="17" customWidth="1"/>
    <col min="2" max="2" width="37.81640625" customWidth="1"/>
    <col min="3" max="3" width="4.54296875" style="45" customWidth="1"/>
    <col min="4" max="5" width="17" style="15" bestFit="1" customWidth="1"/>
    <col min="6" max="7" width="17" bestFit="1" customWidth="1"/>
  </cols>
  <sheetData>
    <row r="1" spans="1:7" x14ac:dyDescent="0.35">
      <c r="A1" s="17" t="s">
        <v>135</v>
      </c>
    </row>
    <row r="3" spans="1:7" x14ac:dyDescent="0.35">
      <c r="A3" s="21" t="s">
        <v>136</v>
      </c>
      <c r="C3" s="22"/>
      <c r="F3" s="15"/>
      <c r="G3" s="15"/>
    </row>
    <row r="4" spans="1:7" x14ac:dyDescent="0.35">
      <c r="A4" s="29" t="s">
        <v>1</v>
      </c>
      <c r="B4" s="30" t="s">
        <v>73</v>
      </c>
      <c r="C4" s="30" t="s">
        <v>74</v>
      </c>
      <c r="D4" s="31" t="s">
        <v>3</v>
      </c>
      <c r="E4" s="31" t="s">
        <v>21</v>
      </c>
      <c r="F4" s="31" t="s">
        <v>75</v>
      </c>
      <c r="G4" s="31"/>
    </row>
    <row r="5" spans="1:7" x14ac:dyDescent="0.35">
      <c r="A5" s="29"/>
      <c r="B5" s="30"/>
      <c r="C5" s="30"/>
      <c r="D5" s="31"/>
      <c r="E5" s="31"/>
      <c r="F5" s="16" t="s">
        <v>3</v>
      </c>
      <c r="G5" s="16" t="s">
        <v>21</v>
      </c>
    </row>
    <row r="6" spans="1:7" x14ac:dyDescent="0.35">
      <c r="A6" s="20">
        <v>42738</v>
      </c>
      <c r="B6" s="3" t="s">
        <v>80</v>
      </c>
      <c r="C6" s="18" t="s">
        <v>76</v>
      </c>
      <c r="D6" s="16">
        <v>5000000</v>
      </c>
      <c r="E6" s="16"/>
      <c r="F6" s="16">
        <f>D6-E6</f>
        <v>5000000</v>
      </c>
      <c r="G6" s="16"/>
    </row>
    <row r="7" spans="1:7" x14ac:dyDescent="0.35">
      <c r="A7" s="20">
        <v>42757</v>
      </c>
      <c r="B7" s="3" t="s">
        <v>139</v>
      </c>
      <c r="C7" s="18" t="s">
        <v>76</v>
      </c>
      <c r="D7" s="16"/>
      <c r="E7" s="16">
        <v>5000000</v>
      </c>
      <c r="F7" s="16">
        <f>F6+D7-E7</f>
        <v>0</v>
      </c>
      <c r="G7" s="16"/>
    </row>
    <row r="9" spans="1:7" x14ac:dyDescent="0.35">
      <c r="A9" s="21" t="s">
        <v>137</v>
      </c>
      <c r="C9" s="22"/>
      <c r="F9" s="15"/>
      <c r="G9" s="15"/>
    </row>
    <row r="10" spans="1:7" x14ac:dyDescent="0.35">
      <c r="A10" s="29" t="s">
        <v>1</v>
      </c>
      <c r="B10" s="30" t="s">
        <v>73</v>
      </c>
      <c r="C10" s="30" t="s">
        <v>74</v>
      </c>
      <c r="D10" s="31" t="s">
        <v>3</v>
      </c>
      <c r="E10" s="31" t="s">
        <v>21</v>
      </c>
      <c r="F10" s="31" t="s">
        <v>75</v>
      </c>
      <c r="G10" s="31"/>
    </row>
    <row r="11" spans="1:7" x14ac:dyDescent="0.35">
      <c r="A11" s="29"/>
      <c r="B11" s="30"/>
      <c r="C11" s="30"/>
      <c r="D11" s="31"/>
      <c r="E11" s="31"/>
      <c r="F11" s="16" t="s">
        <v>3</v>
      </c>
      <c r="G11" s="16" t="s">
        <v>21</v>
      </c>
    </row>
    <row r="12" spans="1:7" x14ac:dyDescent="0.35">
      <c r="A12" s="20">
        <v>42741</v>
      </c>
      <c r="B12" s="3" t="s">
        <v>80</v>
      </c>
      <c r="C12" s="18" t="s">
        <v>76</v>
      </c>
      <c r="D12" s="16">
        <v>3000000</v>
      </c>
      <c r="E12" s="16"/>
      <c r="F12" s="16">
        <f>D12-E12</f>
        <v>3000000</v>
      </c>
      <c r="G12" s="16"/>
    </row>
    <row r="14" spans="1:7" x14ac:dyDescent="0.35">
      <c r="A14" s="21" t="s">
        <v>138</v>
      </c>
      <c r="C14" s="22"/>
      <c r="F14" s="15"/>
      <c r="G14" s="15"/>
    </row>
    <row r="15" spans="1:7" x14ac:dyDescent="0.35">
      <c r="A15" s="29" t="s">
        <v>1</v>
      </c>
      <c r="B15" s="30" t="s">
        <v>73</v>
      </c>
      <c r="C15" s="30" t="s">
        <v>74</v>
      </c>
      <c r="D15" s="31" t="s">
        <v>3</v>
      </c>
      <c r="E15" s="31" t="s">
        <v>21</v>
      </c>
      <c r="F15" s="31" t="s">
        <v>75</v>
      </c>
      <c r="G15" s="31"/>
    </row>
    <row r="16" spans="1:7" x14ac:dyDescent="0.35">
      <c r="A16" s="29"/>
      <c r="B16" s="30"/>
      <c r="C16" s="30"/>
      <c r="D16" s="31"/>
      <c r="E16" s="31"/>
      <c r="F16" s="16" t="s">
        <v>3</v>
      </c>
      <c r="G16" s="16" t="s">
        <v>21</v>
      </c>
    </row>
    <row r="17" spans="1:7" x14ac:dyDescent="0.35">
      <c r="A17" s="20">
        <v>42744</v>
      </c>
      <c r="B17" s="3" t="s">
        <v>80</v>
      </c>
      <c r="C17" s="18" t="s">
        <v>76</v>
      </c>
      <c r="D17" s="16">
        <v>9000000</v>
      </c>
      <c r="E17" s="16"/>
      <c r="F17" s="16">
        <f>D17-E17</f>
        <v>9000000</v>
      </c>
      <c r="G17" s="16"/>
    </row>
    <row r="18" spans="1:7" x14ac:dyDescent="0.35">
      <c r="A18" s="20">
        <v>42744</v>
      </c>
      <c r="B18" s="3" t="s">
        <v>139</v>
      </c>
      <c r="C18" s="14" t="s">
        <v>76</v>
      </c>
      <c r="D18" s="16"/>
      <c r="E18" s="16">
        <v>3000000</v>
      </c>
      <c r="F18" s="16">
        <f>F17+D18-E18</f>
        <v>6000000</v>
      </c>
      <c r="G18" s="3"/>
    </row>
    <row r="19" spans="1:7" x14ac:dyDescent="0.35">
      <c r="A19" s="20">
        <v>42759</v>
      </c>
      <c r="B19" s="3" t="s">
        <v>139</v>
      </c>
      <c r="C19" s="14" t="s">
        <v>76</v>
      </c>
      <c r="D19" s="16"/>
      <c r="E19" s="16">
        <v>6000000</v>
      </c>
      <c r="F19" s="16">
        <f>F18+D19-E19</f>
        <v>0</v>
      </c>
      <c r="G19" s="3"/>
    </row>
  </sheetData>
  <mergeCells count="18">
    <mergeCell ref="A15:A16"/>
    <mergeCell ref="B15:B16"/>
    <mergeCell ref="C15:C16"/>
    <mergeCell ref="D15:D16"/>
    <mergeCell ref="E15:E16"/>
    <mergeCell ref="F15:G15"/>
    <mergeCell ref="A10:A11"/>
    <mergeCell ref="B10:B11"/>
    <mergeCell ref="C10:C11"/>
    <mergeCell ref="D10:D11"/>
    <mergeCell ref="E10:E11"/>
    <mergeCell ref="F10:G10"/>
    <mergeCell ref="A4:A5"/>
    <mergeCell ref="B4:B5"/>
    <mergeCell ref="C4:C5"/>
    <mergeCell ref="D4:D5"/>
    <mergeCell ref="E4:E5"/>
    <mergeCell ref="F4:G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5B6B9-F614-4EC2-B0F1-177F1E95BA3C}">
  <dimension ref="A1:D19"/>
  <sheetViews>
    <sheetView zoomScale="75" workbookViewId="0">
      <selection activeCell="H25" sqref="H25"/>
    </sheetView>
  </sheetViews>
  <sheetFormatPr defaultRowHeight="14.5" x14ac:dyDescent="0.35"/>
  <cols>
    <col min="1" max="1" width="13.08984375" style="17" customWidth="1"/>
    <col min="2" max="2" width="30.54296875" customWidth="1"/>
    <col min="3" max="4" width="17.453125" style="15" bestFit="1" customWidth="1"/>
  </cols>
  <sheetData>
    <row r="1" spans="1:4" x14ac:dyDescent="0.35">
      <c r="A1" s="21" t="s">
        <v>140</v>
      </c>
    </row>
    <row r="2" spans="1:4" x14ac:dyDescent="0.35">
      <c r="A2" s="20" t="s">
        <v>1</v>
      </c>
      <c r="B2" s="4" t="s">
        <v>2</v>
      </c>
      <c r="C2" s="16" t="s">
        <v>3</v>
      </c>
      <c r="D2" s="16" t="s">
        <v>4</v>
      </c>
    </row>
    <row r="3" spans="1:4" x14ac:dyDescent="0.35">
      <c r="A3" s="20">
        <v>43100</v>
      </c>
      <c r="B3" s="3" t="s">
        <v>43</v>
      </c>
      <c r="C3" s="16">
        <f>Laporan!C65</f>
        <v>25000000</v>
      </c>
      <c r="D3" s="16"/>
    </row>
    <row r="4" spans="1:4" x14ac:dyDescent="0.35">
      <c r="A4" s="20"/>
      <c r="B4" s="3" t="s">
        <v>141</v>
      </c>
      <c r="C4" s="16"/>
      <c r="D4" s="16">
        <f>Laporan!C65</f>
        <v>25000000</v>
      </c>
    </row>
    <row r="5" spans="1:4" x14ac:dyDescent="0.35">
      <c r="A5" s="20"/>
      <c r="B5" s="3"/>
      <c r="C5" s="16"/>
      <c r="D5" s="16"/>
    </row>
    <row r="6" spans="1:4" x14ac:dyDescent="0.35">
      <c r="A6" s="20"/>
      <c r="B6" s="3" t="s">
        <v>141</v>
      </c>
      <c r="C6" s="16">
        <f>SUM(D7:D12)</f>
        <v>18900000</v>
      </c>
      <c r="D6" s="16"/>
    </row>
    <row r="7" spans="1:4" x14ac:dyDescent="0.35">
      <c r="A7" s="20"/>
      <c r="B7" s="3" t="s">
        <v>16</v>
      </c>
      <c r="C7" s="16"/>
      <c r="D7" s="16">
        <f>Laporan!C67</f>
        <v>2500000</v>
      </c>
    </row>
    <row r="8" spans="1:4" x14ac:dyDescent="0.35">
      <c r="A8" s="20"/>
      <c r="B8" s="3" t="s">
        <v>13</v>
      </c>
      <c r="C8" s="16"/>
      <c r="D8" s="16">
        <f>Laporan!C68</f>
        <v>6500000</v>
      </c>
    </row>
    <row r="9" spans="1:4" x14ac:dyDescent="0.35">
      <c r="A9" s="20"/>
      <c r="B9" s="3" t="s">
        <v>22</v>
      </c>
      <c r="C9" s="16"/>
      <c r="D9" s="16">
        <f>Laporan!C69</f>
        <v>3000000</v>
      </c>
    </row>
    <row r="10" spans="1:4" x14ac:dyDescent="0.35">
      <c r="A10" s="20"/>
      <c r="B10" s="3" t="s">
        <v>23</v>
      </c>
      <c r="C10" s="16"/>
      <c r="D10" s="16">
        <f>Laporan!C70</f>
        <v>5000000</v>
      </c>
    </row>
    <row r="11" spans="1:4" x14ac:dyDescent="0.35">
      <c r="A11" s="20"/>
      <c r="B11" s="3" t="s">
        <v>109</v>
      </c>
      <c r="C11" s="16"/>
      <c r="D11" s="16">
        <f>Laporan!C71</f>
        <v>600000</v>
      </c>
    </row>
    <row r="12" spans="1:4" x14ac:dyDescent="0.35">
      <c r="A12" s="20"/>
      <c r="B12" s="3" t="s">
        <v>28</v>
      </c>
      <c r="C12" s="16"/>
      <c r="D12" s="16">
        <f>Laporan!C72</f>
        <v>1300000</v>
      </c>
    </row>
    <row r="13" spans="1:4" x14ac:dyDescent="0.35">
      <c r="A13" s="20"/>
      <c r="B13" s="3"/>
      <c r="C13" s="16"/>
      <c r="D13" s="16"/>
    </row>
    <row r="14" spans="1:4" x14ac:dyDescent="0.35">
      <c r="A14" s="20"/>
      <c r="B14" s="3" t="s">
        <v>141</v>
      </c>
      <c r="C14" s="16">
        <f>Laporan!C74</f>
        <v>6100000</v>
      </c>
      <c r="D14" s="16"/>
    </row>
    <row r="15" spans="1:4" x14ac:dyDescent="0.35">
      <c r="A15" s="20"/>
      <c r="B15" s="3" t="s">
        <v>6</v>
      </c>
      <c r="C15" s="16"/>
      <c r="D15" s="16">
        <f>Laporan!C74</f>
        <v>6100000</v>
      </c>
    </row>
    <row r="16" spans="1:4" x14ac:dyDescent="0.35">
      <c r="A16" s="20"/>
      <c r="B16" s="3"/>
      <c r="C16" s="16"/>
      <c r="D16" s="16"/>
    </row>
    <row r="17" spans="1:4" x14ac:dyDescent="0.35">
      <c r="A17" s="20"/>
      <c r="B17" s="3" t="s">
        <v>6</v>
      </c>
      <c r="C17" s="16">
        <f>Laporan!G52</f>
        <v>1500000</v>
      </c>
      <c r="D17" s="16"/>
    </row>
    <row r="18" spans="1:4" x14ac:dyDescent="0.35">
      <c r="A18" s="20"/>
      <c r="B18" s="3" t="s">
        <v>15</v>
      </c>
      <c r="C18" s="16"/>
      <c r="D18" s="16">
        <f>Laporan!G52</f>
        <v>1500000</v>
      </c>
    </row>
    <row r="19" spans="1:4" x14ac:dyDescent="0.35">
      <c r="C19" s="23">
        <f>SUM(C3:C18)</f>
        <v>51500000</v>
      </c>
      <c r="D19" s="23">
        <f>SUM(D3:D18)</f>
        <v>51500000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C1629-E650-4CDE-A850-EE930A0C00B7}">
  <dimension ref="A1:F18"/>
  <sheetViews>
    <sheetView tabSelected="1" zoomScale="74" zoomScaleNormal="74" workbookViewId="0">
      <selection activeCell="I17" sqref="I17"/>
    </sheetView>
  </sheetViews>
  <sheetFormatPr defaultRowHeight="14.5" x14ac:dyDescent="0.35"/>
  <cols>
    <col min="1" max="1" width="29.08984375" customWidth="1"/>
    <col min="2" max="2" width="15.81640625" customWidth="1"/>
    <col min="3" max="3" width="15.54296875" customWidth="1"/>
    <col min="4" max="4" width="25.26953125" customWidth="1"/>
    <col min="5" max="5" width="14.7265625" customWidth="1"/>
    <col min="6" max="6" width="15.26953125" customWidth="1"/>
  </cols>
  <sheetData>
    <row r="1" spans="1:6" x14ac:dyDescent="0.35">
      <c r="A1" s="33" t="s">
        <v>53</v>
      </c>
      <c r="B1" s="34"/>
      <c r="C1" s="34"/>
      <c r="D1" s="34"/>
      <c r="E1" s="34"/>
      <c r="F1" s="35"/>
    </row>
    <row r="2" spans="1:6" x14ac:dyDescent="0.35">
      <c r="A2" s="36" t="s">
        <v>144</v>
      </c>
      <c r="B2" s="37"/>
      <c r="C2" s="37"/>
      <c r="D2" s="37"/>
      <c r="E2" s="37"/>
      <c r="F2" s="38"/>
    </row>
    <row r="3" spans="1:6" x14ac:dyDescent="0.35">
      <c r="A3" s="12" t="s">
        <v>55</v>
      </c>
      <c r="B3" s="5"/>
      <c r="C3" s="5"/>
      <c r="D3" s="12" t="s">
        <v>56</v>
      </c>
      <c r="E3" s="5"/>
      <c r="F3" s="3"/>
    </row>
    <row r="4" spans="1:6" x14ac:dyDescent="0.35">
      <c r="A4" s="12" t="s">
        <v>57</v>
      </c>
      <c r="B4" s="5"/>
      <c r="C4" s="5"/>
      <c r="D4" s="12" t="s">
        <v>12</v>
      </c>
      <c r="E4" s="5"/>
      <c r="F4" s="3"/>
    </row>
    <row r="5" spans="1:6" x14ac:dyDescent="0.35">
      <c r="A5" s="3" t="s">
        <v>5</v>
      </c>
      <c r="B5" s="5">
        <f>'Buku Besar'!K3</f>
        <v>23500000</v>
      </c>
      <c r="C5" s="5"/>
      <c r="D5" s="12" t="s">
        <v>58</v>
      </c>
      <c r="E5" s="5"/>
      <c r="F5" s="3"/>
    </row>
    <row r="6" spans="1:6" x14ac:dyDescent="0.35">
      <c r="A6" s="3" t="s">
        <v>10</v>
      </c>
      <c r="B6" s="5">
        <f>'Buku Besar'!K4</f>
        <v>3000000</v>
      </c>
      <c r="C6" s="5"/>
      <c r="D6" s="3" t="s">
        <v>59</v>
      </c>
      <c r="E6" s="5">
        <f>'Buku Besar'!L10</f>
        <v>1000000</v>
      </c>
      <c r="F6" s="3"/>
    </row>
    <row r="7" spans="1:6" x14ac:dyDescent="0.35">
      <c r="A7" s="3" t="s">
        <v>8</v>
      </c>
      <c r="B7" s="5">
        <f>'Buku Besar'!K5</f>
        <v>1200000</v>
      </c>
      <c r="C7" s="5"/>
      <c r="D7" s="3" t="s">
        <v>18</v>
      </c>
      <c r="E7" s="5">
        <f>'Buku Besar'!L11</f>
        <v>8000000</v>
      </c>
      <c r="F7" s="3"/>
    </row>
    <row r="8" spans="1:6" x14ac:dyDescent="0.35">
      <c r="A8" s="3" t="s">
        <v>17</v>
      </c>
      <c r="B8" s="5">
        <f>'Buku Besar'!K6</f>
        <v>7000000</v>
      </c>
      <c r="C8" s="5"/>
      <c r="D8" s="3" t="s">
        <v>42</v>
      </c>
      <c r="E8" s="5">
        <f>'Buku Besar'!L12</f>
        <v>3500000</v>
      </c>
      <c r="F8" s="3"/>
    </row>
    <row r="9" spans="1:6" x14ac:dyDescent="0.35">
      <c r="A9" s="3" t="s">
        <v>14</v>
      </c>
      <c r="B9" s="5">
        <f>'Buku Besar'!K7</f>
        <v>0</v>
      </c>
      <c r="C9" s="5"/>
      <c r="D9" s="12" t="s">
        <v>60</v>
      </c>
      <c r="E9" s="5"/>
      <c r="F9" s="3"/>
    </row>
    <row r="10" spans="1:6" x14ac:dyDescent="0.35">
      <c r="A10" s="12" t="s">
        <v>61</v>
      </c>
      <c r="C10" s="7">
        <f>SUM(B5:B9)</f>
        <v>34700000</v>
      </c>
      <c r="D10" s="3" t="s">
        <v>62</v>
      </c>
      <c r="E10" s="5">
        <v>0</v>
      </c>
      <c r="F10" s="3"/>
    </row>
    <row r="11" spans="1:6" x14ac:dyDescent="0.35">
      <c r="A11" s="12" t="s">
        <v>63</v>
      </c>
      <c r="B11" s="5"/>
      <c r="C11" s="5"/>
      <c r="D11" s="12" t="s">
        <v>64</v>
      </c>
      <c r="E11" s="5"/>
      <c r="F11" s="7">
        <f>SUM(E5:E10)</f>
        <v>12500000</v>
      </c>
    </row>
    <row r="12" spans="1:6" x14ac:dyDescent="0.35">
      <c r="A12" s="3" t="s">
        <v>65</v>
      </c>
      <c r="B12" s="5"/>
      <c r="C12" s="5"/>
      <c r="D12" s="3"/>
      <c r="E12" s="5"/>
      <c r="F12" s="3"/>
    </row>
    <row r="13" spans="1:6" x14ac:dyDescent="0.35">
      <c r="A13" s="3" t="s">
        <v>66</v>
      </c>
      <c r="B13" s="5"/>
      <c r="C13" s="5"/>
      <c r="D13" s="12" t="s">
        <v>6</v>
      </c>
      <c r="E13" s="5"/>
      <c r="F13" s="7">
        <f>'Buku Besar'!L13</f>
        <v>24600000</v>
      </c>
    </row>
    <row r="14" spans="1:6" x14ac:dyDescent="0.35">
      <c r="A14" s="3" t="s">
        <v>67</v>
      </c>
      <c r="B14" s="5"/>
      <c r="C14" s="5"/>
      <c r="D14" s="3"/>
      <c r="E14" s="5"/>
      <c r="F14" s="3"/>
    </row>
    <row r="15" spans="1:6" x14ac:dyDescent="0.35">
      <c r="A15" s="3" t="s">
        <v>7</v>
      </c>
      <c r="B15" s="5">
        <f>'Buku Besar'!K8</f>
        <v>3000000</v>
      </c>
      <c r="C15" s="5"/>
      <c r="D15" s="3"/>
      <c r="E15" s="5"/>
      <c r="F15" s="3"/>
    </row>
    <row r="16" spans="1:6" x14ac:dyDescent="0.35">
      <c r="A16" s="3" t="s">
        <v>68</v>
      </c>
      <c r="B16" s="5"/>
      <c r="C16" s="5">
        <f>-'Buku Besar'!L9</f>
        <v>-600000</v>
      </c>
      <c r="D16" s="3"/>
      <c r="E16" s="5"/>
      <c r="F16" s="3"/>
    </row>
    <row r="17" spans="1:6" x14ac:dyDescent="0.35">
      <c r="A17" s="12" t="s">
        <v>69</v>
      </c>
      <c r="C17" s="7">
        <f>SUM(SUM(B12:B16),SUM(C12:C16))</f>
        <v>2400000</v>
      </c>
      <c r="D17" s="3"/>
      <c r="E17" s="5"/>
      <c r="F17" s="3"/>
    </row>
    <row r="18" spans="1:6" x14ac:dyDescent="0.35">
      <c r="A18" s="12" t="s">
        <v>70</v>
      </c>
      <c r="B18" s="5"/>
      <c r="C18" s="7">
        <f>C10+C17</f>
        <v>37100000</v>
      </c>
      <c r="D18" s="12" t="s">
        <v>71</v>
      </c>
      <c r="E18" s="7"/>
      <c r="F18" s="7">
        <f>F11+F13</f>
        <v>37100000</v>
      </c>
    </row>
  </sheetData>
  <mergeCells count="2">
    <mergeCell ref="A1:F1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Laporan</vt:lpstr>
      <vt:lpstr>Perincian Laporan</vt:lpstr>
      <vt:lpstr>Buku Besar</vt:lpstr>
      <vt:lpstr>Buku Besar Pembantu</vt:lpstr>
      <vt:lpstr>Jurnal Penutup</vt:lpstr>
      <vt:lpstr>Neraca Awal Periode Baru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Zain Hargreeves</dc:creator>
  <cp:lastModifiedBy>Zain Hargreeves</cp:lastModifiedBy>
  <cp:lastPrinted>2026-10-06T15:29:19Z</cp:lastPrinted>
  <dcterms:created xsi:type="dcterms:W3CDTF">2026-10-05T17:13:04Z</dcterms:created>
  <dcterms:modified xsi:type="dcterms:W3CDTF">2026-10-07T21:20:34Z</dcterms:modified>
</cp:coreProperties>
</file>